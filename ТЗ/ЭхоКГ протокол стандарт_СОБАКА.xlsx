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olga\Desktop\ЭХО протокол\"/>
    </mc:Choice>
  </mc:AlternateContent>
  <xr:revisionPtr revIDLastSave="0" documentId="13_ncr:1_{8C8501F5-4493-4D3D-88B3-5D7204D6B1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1" l="1"/>
  <c r="G34" i="1"/>
  <c r="G37" i="1"/>
  <c r="G38" i="1"/>
  <c r="G29" i="1"/>
  <c r="G28" i="1"/>
  <c r="J23" i="1"/>
  <c r="J21" i="1"/>
  <c r="B45" i="1"/>
  <c r="J53" i="1" s="1"/>
  <c r="G31" i="1"/>
  <c r="G24" i="1"/>
  <c r="G23" i="1"/>
  <c r="G19" i="1"/>
  <c r="G21" i="1" l="1"/>
  <c r="G67" i="1" l="1"/>
  <c r="G58" i="1" l="1"/>
  <c r="G54" i="1"/>
  <c r="G50" i="1"/>
  <c r="G46" i="1"/>
  <c r="G42" i="1"/>
  <c r="G64" i="1" l="1"/>
  <c r="I75" i="1" l="1"/>
  <c r="G30" i="1" l="1"/>
  <c r="G14" i="1" l="1"/>
  <c r="E11" i="1"/>
  <c r="E8" i="1"/>
  <c r="E24" i="1" l="1"/>
  <c r="E23" i="1"/>
</calcChain>
</file>

<file path=xl/sharedStrings.xml><?xml version="1.0" encoding="utf-8"?>
<sst xmlns="http://schemas.openxmlformats.org/spreadsheetml/2006/main" count="195" uniqueCount="123">
  <si>
    <t>УЛЬТРАЗВУКОВОЕ ИССЛЕДОВАНИЕ СЕРДЦА (ЭХОКАРДИОГРАФИЯ)</t>
  </si>
  <si>
    <t>Вид</t>
  </si>
  <si>
    <t>собака</t>
  </si>
  <si>
    <t>Кличка</t>
  </si>
  <si>
    <t>Порода</t>
  </si>
  <si>
    <t>нет</t>
  </si>
  <si>
    <t>кг</t>
  </si>
  <si>
    <t>ППТ</t>
  </si>
  <si>
    <t>м2</t>
  </si>
  <si>
    <t>Короткая ось</t>
  </si>
  <si>
    <t>ЛП/Ао</t>
  </si>
  <si>
    <t>Ао</t>
  </si>
  <si>
    <t>Длинная ось</t>
  </si>
  <si>
    <t>%</t>
  </si>
  <si>
    <t>ЛП max</t>
  </si>
  <si>
    <t>ЛВ</t>
  </si>
  <si>
    <t>ЛВ/ПВЛА</t>
  </si>
  <si>
    <t>ПВЛА</t>
  </si>
  <si>
    <t>ЛЕВЫЙ ЖЕЛУДОЧЕК</t>
  </si>
  <si>
    <t>МЖПд</t>
  </si>
  <si>
    <t>КДР</t>
  </si>
  <si>
    <t>КДРн</t>
  </si>
  <si>
    <t>ЗСЛЖд</t>
  </si>
  <si>
    <t>КСР</t>
  </si>
  <si>
    <t>КСРн</t>
  </si>
  <si>
    <t>мм</t>
  </si>
  <si>
    <t>ПРАВЫЙ ЖЕЛУДОЧЕК</t>
  </si>
  <si>
    <t>СПЖд</t>
  </si>
  <si>
    <t>ПЖ/ЛЖ</t>
  </si>
  <si>
    <t>TAPSE</t>
  </si>
  <si>
    <t>TAPSEн</t>
  </si>
  <si>
    <t>TAPSE/Ao</t>
  </si>
  <si>
    <t>МИТРАЛЬНЫЙ КЛАПАН</t>
  </si>
  <si>
    <t>Створки</t>
  </si>
  <si>
    <t>не изменены</t>
  </si>
  <si>
    <t>SAM</t>
  </si>
  <si>
    <t>Е</t>
  </si>
  <si>
    <t>м/c</t>
  </si>
  <si>
    <t>E/A</t>
  </si>
  <si>
    <t>А</t>
  </si>
  <si>
    <t>IVRT</t>
  </si>
  <si>
    <t>мс</t>
  </si>
  <si>
    <t>E/IVRT</t>
  </si>
  <si>
    <t>м/с</t>
  </si>
  <si>
    <t>Степень</t>
  </si>
  <si>
    <t>Скорость</t>
  </si>
  <si>
    <t>Градиент</t>
  </si>
  <si>
    <t>мм рт ст</t>
  </si>
  <si>
    <t>АОРТА</t>
  </si>
  <si>
    <t>Скорость потока</t>
  </si>
  <si>
    <t>ЛЁГОЧНАЯ АРТЕРИЯ</t>
  </si>
  <si>
    <t>Фиброзное кольцо</t>
  </si>
  <si>
    <t>ТРИКУСПИДАЛЬНЫЙ КЛАПАН</t>
  </si>
  <si>
    <t>Регургитация (ТКР)</t>
  </si>
  <si>
    <t>ПРОЧЕЕ</t>
  </si>
  <si>
    <t>Ветеринарный врач:</t>
  </si>
  <si>
    <t xml:space="preserve">Ветеринарная клиника </t>
  </si>
  <si>
    <t>Чип</t>
  </si>
  <si>
    <t>СОСУДЫ МКК</t>
  </si>
  <si>
    <t>ПП</t>
  </si>
  <si>
    <t>В-линии:</t>
  </si>
  <si>
    <t>ПЖ</t>
  </si>
  <si>
    <t>S'</t>
  </si>
  <si>
    <t>см/сек</t>
  </si>
  <si>
    <t>Ствол ЛА</t>
  </si>
  <si>
    <t xml:space="preserve">Свободная жидкость в грудной полости </t>
  </si>
  <si>
    <t>Координация сократительной активности миокарда</t>
  </si>
  <si>
    <t>КОММЕНТАРИИ</t>
  </si>
  <si>
    <t>ЗАКЛЮЧЕНИЕ ПО РЕЗУЛЬТАТАМ ЭХОКАРДИОГРАФИИ</t>
  </si>
  <si>
    <t>без особенностей</t>
  </si>
  <si>
    <t>не выявлена</t>
  </si>
  <si>
    <t>не изменена</t>
  </si>
  <si>
    <t>не обнаружены</t>
  </si>
  <si>
    <t>Ао/ЛА</t>
  </si>
  <si>
    <t>Седация</t>
  </si>
  <si>
    <t>Признаки патологического шунтирования</t>
  </si>
  <si>
    <t>ДМПП</t>
  </si>
  <si>
    <t>ДМЖП</t>
  </si>
  <si>
    <t>ОАП</t>
  </si>
  <si>
    <t>Направление сброса</t>
  </si>
  <si>
    <t>Описание шунта</t>
  </si>
  <si>
    <t>СПЖ/ЗСЛЖ</t>
  </si>
  <si>
    <t>* не является кардиологическим диагнозом и должно рассматриваться в комплексе с другими исследованиями)</t>
  </si>
  <si>
    <t xml:space="preserve">ЛЕВОЕ ПРЕДСЕРДИЕ </t>
  </si>
  <si>
    <t>не расширено</t>
  </si>
  <si>
    <t>Визуальная оценка</t>
  </si>
  <si>
    <t>пол</t>
  </si>
  <si>
    <t>ПРАВОЕ ПРЕДСЕРДИЕ</t>
  </si>
  <si>
    <t>E'</t>
  </si>
  <si>
    <t>E/E'</t>
  </si>
  <si>
    <t>Регургитация</t>
  </si>
  <si>
    <t>Стеноз</t>
  </si>
  <si>
    <t>ВТЛЖ</t>
  </si>
  <si>
    <t>ВТПЖ</t>
  </si>
  <si>
    <t xml:space="preserve">Степень </t>
  </si>
  <si>
    <t>ФИО владельца</t>
  </si>
  <si>
    <t>Вероятность лёгочной гипертензии</t>
  </si>
  <si>
    <t>низкая</t>
  </si>
  <si>
    <t>Количество анатомических маркеров</t>
  </si>
  <si>
    <t>ТКР</t>
  </si>
  <si>
    <t>Формат протокола рекомендован Кардиологическим Ветеринарным Обществом</t>
  </si>
  <si>
    <t>*список показателей может быть расширен на усмотрение врача с учётом клинической ситуации</t>
  </si>
  <si>
    <t>Характер потока</t>
  </si>
  <si>
    <t>ламинарный/турбулентный</t>
  </si>
  <si>
    <t>Зоны гипокинеза/ акинеза</t>
  </si>
  <si>
    <t>ЛПнорм</t>
  </si>
  <si>
    <t>КДО</t>
  </si>
  <si>
    <t>мл</t>
  </si>
  <si>
    <t>КДО/ППТ</t>
  </si>
  <si>
    <t>КДО/кг</t>
  </si>
  <si>
    <t>ФВ%</t>
  </si>
  <si>
    <t>КСО</t>
  </si>
  <si>
    <t>КСО/ППТ</t>
  </si>
  <si>
    <t>КСО/кг</t>
  </si>
  <si>
    <t>Объем по Симпсону (*дополнительное измерение)</t>
  </si>
  <si>
    <t>Дата:</t>
  </si>
  <si>
    <t>ФУ%</t>
  </si>
  <si>
    <t>Полость перикарда</t>
  </si>
  <si>
    <t>Масса тела</t>
  </si>
  <si>
    <t>возраст</t>
  </si>
  <si>
    <t>А'</t>
  </si>
  <si>
    <t>cм/с</t>
  </si>
  <si>
    <t>ламинарный/ турбулентный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</si>
</sst>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5" x14ac:knownFonts="1">
    <font>
      <sz val="11"/>
      <name val="Calibri"/>
      <scheme val="minor"/>
    </font>
    <font>
      <b/>
      <sz val="14"/>
      <color rgb="FF44546A"/>
      <name val="Calibri"/>
    </font>
    <font>
      <sz val="11"/>
      <name val="Calibri"/>
    </font>
    <font>
      <b/>
      <sz val="14"/>
      <color rgb="FF44546A"/>
      <name val="Calibri"/>
      <family val="2"/>
      <charset val="204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3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b/>
      <sz val="9"/>
      <color theme="3"/>
      <name val="Calibri"/>
      <family val="2"/>
      <charset val="204"/>
      <scheme val="minor"/>
    </font>
    <font>
      <sz val="9"/>
      <name val="Calibri"/>
      <family val="2"/>
      <charset val="204"/>
    </font>
    <font>
      <b/>
      <sz val="8"/>
      <color theme="3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ck">
        <color theme="4" tint="0.499984740745262"/>
      </top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ck">
        <color theme="4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theme="4" tint="0.39997558519241921"/>
      </top>
      <bottom/>
      <diagonal/>
    </border>
  </borders>
  <cellStyleXfs count="6">
    <xf numFmtId="0" fontId="0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9" fillId="0" borderId="6" applyNumberFormat="0" applyFill="0" applyAlignment="0" applyProtection="0"/>
  </cellStyleXfs>
  <cellXfs count="50">
    <xf numFmtId="0" fontId="0" fillId="0" borderId="0" xfId="0"/>
    <xf numFmtId="2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vertical="center" wrapText="1"/>
    </xf>
    <xf numFmtId="2" fontId="5" fillId="0" borderId="2" xfId="2" applyNumberFormat="1" applyAlignment="1">
      <alignment vertical="center" wrapText="1"/>
    </xf>
    <xf numFmtId="2" fontId="0" fillId="0" borderId="0" xfId="0" applyNumberFormat="1" applyAlignment="1">
      <alignment horizontal="left" vertical="center" wrapText="1"/>
    </xf>
    <xf numFmtId="2" fontId="0" fillId="0" borderId="0" xfId="0" applyNumberFormat="1" applyAlignment="1">
      <alignment horizontal="right" vertical="center" wrapText="1"/>
    </xf>
    <xf numFmtId="0" fontId="0" fillId="0" borderId="0" xfId="0" applyAlignment="1">
      <alignment vertical="center" wrapText="1"/>
    </xf>
    <xf numFmtId="2" fontId="6" fillId="0" borderId="0" xfId="0" applyNumberFormat="1" applyFont="1" applyAlignment="1">
      <alignment horizontal="left" vertical="center" wrapText="1"/>
    </xf>
    <xf numFmtId="2" fontId="4" fillId="0" borderId="1" xfId="1" applyNumberFormat="1" applyAlignment="1">
      <alignment vertical="center" wrapText="1"/>
    </xf>
    <xf numFmtId="2" fontId="8" fillId="0" borderId="0" xfId="0" applyNumberFormat="1" applyFont="1" applyAlignment="1">
      <alignment horizontal="left" vertical="center" wrapText="1"/>
    </xf>
    <xf numFmtId="2" fontId="2" fillId="0" borderId="0" xfId="0" applyNumberFormat="1" applyFont="1" applyAlignment="1">
      <alignment horizontal="left" vertical="center" wrapText="1"/>
    </xf>
    <xf numFmtId="2" fontId="11" fillId="0" borderId="0" xfId="0" applyNumberFormat="1" applyFont="1" applyAlignment="1">
      <alignment horizontal="left" vertical="center" wrapText="1"/>
    </xf>
    <xf numFmtId="2" fontId="11" fillId="0" borderId="0" xfId="0" applyNumberFormat="1" applyFont="1" applyAlignment="1">
      <alignment vertical="center" wrapText="1"/>
    </xf>
    <xf numFmtId="0" fontId="11" fillId="0" borderId="0" xfId="0" applyFont="1" applyAlignment="1">
      <alignment vertical="center" wrapText="1"/>
    </xf>
    <xf numFmtId="2" fontId="12" fillId="0" borderId="2" xfId="2" applyNumberFormat="1" applyFont="1" applyAlignment="1">
      <alignment vertical="center" wrapText="1"/>
    </xf>
    <xf numFmtId="2" fontId="13" fillId="0" borderId="0" xfId="0" applyNumberFormat="1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164" fontId="10" fillId="0" borderId="2" xfId="2" applyNumberFormat="1" applyFont="1" applyAlignment="1">
      <alignment vertical="center" wrapText="1"/>
    </xf>
    <xf numFmtId="14" fontId="5" fillId="0" borderId="2" xfId="2" applyNumberFormat="1" applyAlignment="1">
      <alignment vertical="center" wrapText="1"/>
    </xf>
    <xf numFmtId="14" fontId="14" fillId="0" borderId="4" xfId="3" applyNumberFormat="1" applyFont="1" applyAlignment="1">
      <alignment horizontal="center" vertical="center" wrapText="1"/>
    </xf>
    <xf numFmtId="2" fontId="7" fillId="0" borderId="0" xfId="4" applyNumberFormat="1" applyAlignment="1">
      <alignment horizontal="left" vertical="center" wrapText="1"/>
    </xf>
    <xf numFmtId="0" fontId="8" fillId="0" borderId="0" xfId="0" applyFont="1" applyAlignment="1">
      <alignment horizontal="center" wrapText="1"/>
    </xf>
    <xf numFmtId="2" fontId="0" fillId="0" borderId="0" xfId="0" applyNumberFormat="1" applyAlignment="1">
      <alignment horizontal="center" vertical="center" wrapText="1"/>
    </xf>
    <xf numFmtId="2" fontId="0" fillId="0" borderId="5" xfId="0" applyNumberFormat="1" applyBorder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10" fillId="0" borderId="1" xfId="1" applyNumberFormat="1" applyFont="1" applyAlignment="1">
      <alignment horizontal="center" vertical="center" wrapText="1"/>
    </xf>
    <xf numFmtId="2" fontId="0" fillId="0" borderId="5" xfId="0" applyNumberFormat="1" applyBorder="1" applyAlignment="1">
      <alignment horizontal="left" vertical="center" wrapText="1"/>
    </xf>
    <xf numFmtId="2" fontId="7" fillId="0" borderId="4" xfId="3" applyNumberFormat="1" applyAlignment="1">
      <alignment horizontal="left" vertical="center" wrapText="1"/>
    </xf>
    <xf numFmtId="2" fontId="10" fillId="0" borderId="1" xfId="1" applyNumberFormat="1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left" vertical="center" wrapText="1"/>
    </xf>
    <xf numFmtId="2" fontId="6" fillId="0" borderId="0" xfId="0" applyNumberFormat="1" applyFont="1" applyAlignment="1">
      <alignment horizontal="left" vertical="center" wrapText="1"/>
    </xf>
    <xf numFmtId="2" fontId="7" fillId="0" borderId="0" xfId="3" applyNumberFormat="1" applyBorder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5" fillId="0" borderId="2" xfId="2" applyNumberFormat="1" applyAlignment="1">
      <alignment horizontal="left" vertical="center" wrapText="1"/>
    </xf>
    <xf numFmtId="2" fontId="7" fillId="0" borderId="2" xfId="2" applyNumberFormat="1" applyFont="1" applyAlignment="1">
      <alignment horizontal="left" vertical="center" wrapText="1"/>
    </xf>
    <xf numFmtId="2" fontId="7" fillId="0" borderId="4" xfId="3" applyNumberFormat="1" applyAlignment="1">
      <alignment vertical="center" wrapText="1"/>
    </xf>
    <xf numFmtId="2" fontId="0" fillId="0" borderId="0" xfId="0" applyNumberFormat="1" applyAlignment="1">
      <alignment vertical="center" wrapText="1"/>
    </xf>
    <xf numFmtId="2" fontId="5" fillId="0" borderId="2" xfId="2" applyNumberFormat="1" applyAlignment="1">
      <alignment horizontal="center" vertical="center" wrapText="1"/>
    </xf>
    <xf numFmtId="2" fontId="7" fillId="0" borderId="0" xfId="4" applyNumberFormat="1" applyAlignment="1">
      <alignment vertical="center" wrapText="1"/>
    </xf>
    <xf numFmtId="2" fontId="8" fillId="0" borderId="7" xfId="0" applyNumberFormat="1" applyFont="1" applyBorder="1" applyAlignment="1">
      <alignment horizontal="center" vertical="center" wrapText="1"/>
    </xf>
    <xf numFmtId="2" fontId="7" fillId="0" borderId="4" xfId="3" applyNumberFormat="1" applyAlignment="1">
      <alignment horizontal="center" vertical="center" wrapText="1"/>
    </xf>
    <xf numFmtId="2" fontId="8" fillId="0" borderId="0" xfId="0" applyNumberFormat="1" applyFont="1" applyAlignment="1">
      <alignment horizontal="center" vertical="center" wrapText="1"/>
    </xf>
    <xf numFmtId="0" fontId="0" fillId="0" borderId="0" xfId="0"/>
    <xf numFmtId="2" fontId="0" fillId="0" borderId="3" xfId="0" applyNumberFormat="1" applyBorder="1" applyAlignment="1">
      <alignment horizontal="center" vertical="center" wrapText="1"/>
    </xf>
    <xf numFmtId="2" fontId="7" fillId="0" borderId="3" xfId="3" applyNumberFormat="1" applyBorder="1" applyAlignment="1">
      <alignment horizontal="center" vertical="center" wrapText="1"/>
    </xf>
    <xf numFmtId="2" fontId="9" fillId="0" borderId="6" xfId="5" applyNumberForma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6">
    <cellStyle name="Заголовок 1" xfId="1" builtinId="16"/>
    <cellStyle name="Заголовок 2" xfId="2" builtinId="17"/>
    <cellStyle name="Заголовок 3" xfId="3" builtinId="18"/>
    <cellStyle name="Заголовок 4" xfId="4" builtinId="19"/>
    <cellStyle name="Итог" xfId="5" builtinId="25"/>
    <cellStyle name="Обычный" xfId="0" builtinId="0"/>
  </cellStyles>
  <dxfs count="1"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3"/>
  <sheetViews>
    <sheetView tabSelected="1" topLeftCell="A80" zoomScale="120" zoomScaleNormal="120" workbookViewId="0">
      <selection activeCell="A13" sqref="A13:J13"/>
    </sheetView>
  </sheetViews>
  <sheetFormatPr defaultColWidth="14.44140625" defaultRowHeight="15" customHeight="1" x14ac:dyDescent="0.3"/>
  <cols>
    <col min="1" max="1" width="17" style="2" customWidth="1"/>
    <col min="2" max="2" width="7.21875" style="2" customWidth="1"/>
    <col min="3" max="3" width="5.5546875" style="12" customWidth="1"/>
    <col min="4" max="4" width="9" style="2" customWidth="1"/>
    <col min="5" max="5" width="7" style="2" customWidth="1"/>
    <col min="6" max="6" width="8.21875" style="2" customWidth="1"/>
    <col min="7" max="7" width="7.5546875" style="2" customWidth="1"/>
    <col min="8" max="8" width="6.88671875" style="12" customWidth="1"/>
    <col min="9" max="9" width="9.5546875" style="2" customWidth="1"/>
    <col min="10" max="10" width="7.88671875" style="2" customWidth="1"/>
    <col min="11" max="17" width="9.109375" style="2" customWidth="1"/>
    <col min="18" max="16384" width="14.44140625" style="2"/>
  </cols>
  <sheetData>
    <row r="1" spans="1:10" ht="19.5" customHeight="1" x14ac:dyDescent="0.3">
      <c r="A1" s="34" t="s">
        <v>56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ht="18.75" customHeight="1" x14ac:dyDescent="0.3">
      <c r="A2" s="35" t="s">
        <v>0</v>
      </c>
      <c r="B2" s="35"/>
      <c r="C2" s="35"/>
      <c r="D2" s="35"/>
      <c r="E2" s="35"/>
      <c r="F2" s="35"/>
      <c r="G2" s="35"/>
      <c r="H2" s="35"/>
      <c r="I2" s="35"/>
      <c r="J2" s="35"/>
    </row>
    <row r="3" spans="1:10" ht="14.25" customHeight="1" thickBot="1" x14ac:dyDescent="0.35">
      <c r="A3" s="40"/>
      <c r="B3" s="40"/>
      <c r="C3" s="40"/>
      <c r="D3" s="40"/>
      <c r="E3" s="40"/>
      <c r="F3" s="40"/>
      <c r="G3" s="40"/>
      <c r="H3" s="40"/>
      <c r="I3" s="3"/>
      <c r="J3" s="3"/>
    </row>
    <row r="4" spans="1:10" ht="18" customHeight="1" thickTop="1" thickBot="1" x14ac:dyDescent="0.35">
      <c r="A4" s="36" t="s">
        <v>95</v>
      </c>
      <c r="B4" s="36"/>
      <c r="C4" s="36"/>
      <c r="D4" s="36"/>
      <c r="E4" s="36"/>
      <c r="F4" s="36"/>
      <c r="G4" s="36"/>
      <c r="H4" s="36"/>
      <c r="I4" s="36"/>
      <c r="J4" s="36"/>
    </row>
    <row r="5" spans="1:10" ht="18.75" customHeight="1" thickTop="1" thickBot="1" x14ac:dyDescent="0.35">
      <c r="A5" s="3" t="s">
        <v>1</v>
      </c>
      <c r="B5" s="38" t="s">
        <v>2</v>
      </c>
      <c r="C5" s="38"/>
      <c r="D5" s="3" t="s">
        <v>3</v>
      </c>
      <c r="E5" s="36"/>
      <c r="F5" s="36"/>
      <c r="G5" s="36"/>
      <c r="H5" s="36"/>
      <c r="I5" s="36"/>
      <c r="J5" s="36"/>
    </row>
    <row r="6" spans="1:10" ht="18.75" customHeight="1" thickTop="1" thickBot="1" x14ac:dyDescent="0.35">
      <c r="A6" s="3" t="s">
        <v>4</v>
      </c>
      <c r="B6" s="28"/>
      <c r="C6" s="28"/>
      <c r="D6" s="28"/>
      <c r="E6" s="28"/>
      <c r="F6" s="3" t="s">
        <v>86</v>
      </c>
      <c r="G6" s="38"/>
      <c r="H6" s="38"/>
      <c r="I6" s="3" t="s">
        <v>119</v>
      </c>
      <c r="J6" s="19"/>
    </row>
    <row r="7" spans="1:10" ht="18.75" customHeight="1" thickTop="1" x14ac:dyDescent="0.3">
      <c r="A7" s="41" t="s">
        <v>57</v>
      </c>
      <c r="B7" s="41"/>
      <c r="C7" s="39"/>
      <c r="D7" s="39"/>
      <c r="E7" s="39"/>
      <c r="F7" s="39"/>
      <c r="G7" s="39"/>
      <c r="H7" s="39"/>
    </row>
    <row r="8" spans="1:10" s="4" customFormat="1" ht="14.25" customHeight="1" x14ac:dyDescent="0.3">
      <c r="A8" s="20" t="s">
        <v>118</v>
      </c>
      <c r="C8" s="11" t="s">
        <v>6</v>
      </c>
      <c r="D8" s="4" t="s">
        <v>7</v>
      </c>
      <c r="E8" s="4">
        <f>0.101*(B8^0.6667)</f>
        <v>0</v>
      </c>
      <c r="F8" s="2" t="s">
        <v>8</v>
      </c>
      <c r="G8" s="39" t="s">
        <v>74</v>
      </c>
      <c r="H8" s="39"/>
      <c r="I8" s="2" t="s">
        <v>5</v>
      </c>
      <c r="J8" s="2"/>
    </row>
    <row r="9" spans="1:10" s="4" customFormat="1" ht="19.5" customHeight="1" thickBot="1" x14ac:dyDescent="0.35">
      <c r="A9" s="29" t="s">
        <v>83</v>
      </c>
      <c r="B9" s="29"/>
      <c r="C9" s="29"/>
      <c r="D9" s="29"/>
      <c r="E9" s="29"/>
      <c r="F9" s="29"/>
      <c r="G9" s="29"/>
      <c r="H9" s="29"/>
      <c r="I9" s="29"/>
      <c r="J9" s="29"/>
    </row>
    <row r="10" spans="1:10" s="4" customFormat="1" ht="14.25" customHeight="1" thickTop="1" thickBot="1" x14ac:dyDescent="0.35">
      <c r="A10" s="28" t="s">
        <v>9</v>
      </c>
      <c r="B10" s="28"/>
      <c r="C10" s="28"/>
      <c r="D10" s="28"/>
      <c r="E10" s="28"/>
      <c r="F10" s="28" t="s">
        <v>12</v>
      </c>
      <c r="G10" s="28"/>
      <c r="H10" s="28"/>
      <c r="I10" s="28"/>
      <c r="J10" s="28"/>
    </row>
    <row r="11" spans="1:10" s="4" customFormat="1" ht="14.25" customHeight="1" x14ac:dyDescent="0.3">
      <c r="A11" s="4" t="s">
        <v>14</v>
      </c>
      <c r="C11" s="11" t="s">
        <v>25</v>
      </c>
      <c r="D11" s="4" t="s">
        <v>10</v>
      </c>
      <c r="E11" s="4" t="e">
        <f>B11/B12</f>
        <v>#DIV/0!</v>
      </c>
      <c r="F11" s="5" t="s">
        <v>14</v>
      </c>
      <c r="H11" s="11" t="s">
        <v>25</v>
      </c>
    </row>
    <row r="12" spans="1:10" s="4" customFormat="1" ht="14.25" customHeight="1" x14ac:dyDescent="0.3">
      <c r="A12" s="4" t="s">
        <v>11</v>
      </c>
      <c r="C12" s="11" t="s">
        <v>25</v>
      </c>
      <c r="F12" s="5" t="s">
        <v>105</v>
      </c>
      <c r="G12" s="4" t="e">
        <f>0.1*G11/B8^0.309</f>
        <v>#DIV/0!</v>
      </c>
      <c r="H12" s="11"/>
    </row>
    <row r="13" spans="1:10" s="4" customFormat="1" ht="14.25" customHeight="1" thickBot="1" x14ac:dyDescent="0.35">
      <c r="A13" s="37" t="s">
        <v>58</v>
      </c>
      <c r="B13" s="37"/>
      <c r="C13" s="37"/>
      <c r="D13" s="37"/>
      <c r="E13" s="37"/>
      <c r="F13" s="37"/>
      <c r="G13" s="37"/>
      <c r="H13" s="37"/>
      <c r="I13" s="37"/>
      <c r="J13" s="37"/>
    </row>
    <row r="14" spans="1:10" s="4" customFormat="1" ht="14.25" customHeight="1" thickTop="1" x14ac:dyDescent="0.3">
      <c r="A14" s="4" t="s">
        <v>15</v>
      </c>
      <c r="C14" s="11" t="s">
        <v>25</v>
      </c>
      <c r="E14" s="46" t="s">
        <v>16</v>
      </c>
      <c r="F14" s="46"/>
      <c r="G14" s="4" t="e">
        <f>B14/B15</f>
        <v>#DIV/0!</v>
      </c>
      <c r="H14" s="11"/>
    </row>
    <row r="15" spans="1:10" s="4" customFormat="1" ht="14.25" customHeight="1" x14ac:dyDescent="0.3">
      <c r="A15" s="4" t="s">
        <v>17</v>
      </c>
      <c r="C15" s="11" t="s">
        <v>25</v>
      </c>
      <c r="E15" s="22" t="s">
        <v>60</v>
      </c>
      <c r="F15" s="22"/>
      <c r="G15" s="2" t="s">
        <v>5</v>
      </c>
      <c r="H15" s="12"/>
    </row>
    <row r="16" spans="1:10" s="4" customFormat="1" ht="19.5" customHeight="1" thickBot="1" x14ac:dyDescent="0.35">
      <c r="A16" s="29" t="s">
        <v>18</v>
      </c>
      <c r="B16" s="29"/>
      <c r="C16" s="29"/>
      <c r="D16" s="29"/>
      <c r="E16" s="29"/>
      <c r="F16" s="29"/>
      <c r="G16" s="29"/>
      <c r="H16" s="29"/>
      <c r="I16" s="29"/>
      <c r="J16" s="29"/>
    </row>
    <row r="17" spans="1:10" s="4" customFormat="1" ht="14.25" customHeight="1" thickTop="1" thickBot="1" x14ac:dyDescent="0.35">
      <c r="A17" s="28" t="s">
        <v>12</v>
      </c>
      <c r="B17" s="28"/>
      <c r="C17" s="28"/>
      <c r="D17" s="28"/>
      <c r="E17" s="28"/>
      <c r="F17" s="28"/>
      <c r="G17" s="28"/>
      <c r="H17" s="28"/>
      <c r="I17" s="28"/>
      <c r="J17" s="28"/>
    </row>
    <row r="18" spans="1:10" s="4" customFormat="1" ht="14.25" customHeight="1" x14ac:dyDescent="0.3">
      <c r="A18" s="4" t="s">
        <v>19</v>
      </c>
      <c r="C18" s="11" t="s">
        <v>25</v>
      </c>
      <c r="H18" s="11"/>
    </row>
    <row r="19" spans="1:10" s="4" customFormat="1" ht="14.25" customHeight="1" x14ac:dyDescent="0.3">
      <c r="A19" s="4" t="s">
        <v>20</v>
      </c>
      <c r="C19" s="11" t="s">
        <v>25</v>
      </c>
      <c r="E19" s="22" t="s">
        <v>21</v>
      </c>
      <c r="F19" s="22"/>
      <c r="G19" s="4" t="e">
        <f>(0.1*B19)/B8^0.294</f>
        <v>#DIV/0!</v>
      </c>
      <c r="H19" s="11"/>
    </row>
    <row r="20" spans="1:10" s="4" customFormat="1" ht="14.25" customHeight="1" x14ac:dyDescent="0.3">
      <c r="A20" s="4" t="s">
        <v>22</v>
      </c>
      <c r="C20" s="11" t="s">
        <v>25</v>
      </c>
      <c r="H20" s="11"/>
    </row>
    <row r="21" spans="1:10" s="4" customFormat="1" ht="14.25" customHeight="1" thickBot="1" x14ac:dyDescent="0.35">
      <c r="A21" s="4" t="s">
        <v>23</v>
      </c>
      <c r="C21" s="11" t="s">
        <v>25</v>
      </c>
      <c r="E21" s="22" t="s">
        <v>24</v>
      </c>
      <c r="F21" s="22"/>
      <c r="G21" s="4" t="e">
        <f>(0.1*B21)/B8^0.315</f>
        <v>#DIV/0!</v>
      </c>
      <c r="H21" s="11"/>
      <c r="I21" s="4" t="s">
        <v>116</v>
      </c>
      <c r="J21" s="4" t="e">
        <f>((B19-B21)/B19)*100</f>
        <v>#DIV/0!</v>
      </c>
    </row>
    <row r="22" spans="1:10" s="4" customFormat="1" ht="14.25" customHeight="1" thickTop="1" x14ac:dyDescent="0.3">
      <c r="A22" s="47" t="s">
        <v>114</v>
      </c>
      <c r="B22" s="47"/>
      <c r="C22" s="47"/>
      <c r="D22" s="47"/>
      <c r="E22" s="47"/>
      <c r="F22" s="47"/>
      <c r="G22" s="47"/>
      <c r="H22" s="47"/>
      <c r="I22" s="47"/>
      <c r="J22" s="47"/>
    </row>
    <row r="23" spans="1:10" s="4" customFormat="1" ht="14.25" customHeight="1" x14ac:dyDescent="0.3">
      <c r="A23" s="4" t="s">
        <v>106</v>
      </c>
      <c r="C23" s="11" t="s">
        <v>107</v>
      </c>
      <c r="D23" s="4" t="s">
        <v>108</v>
      </c>
      <c r="E23" s="4" t="e">
        <f>B23/E8</f>
        <v>#DIV/0!</v>
      </c>
      <c r="F23" s="4" t="s">
        <v>109</v>
      </c>
      <c r="G23" s="4" t="e">
        <f>B23/B8</f>
        <v>#DIV/0!</v>
      </c>
      <c r="H23" s="11"/>
      <c r="I23" s="4" t="s">
        <v>110</v>
      </c>
      <c r="J23" s="4" t="e">
        <f>((B23-B24)/B23)*100</f>
        <v>#DIV/0!</v>
      </c>
    </row>
    <row r="24" spans="1:10" s="4" customFormat="1" ht="14.25" customHeight="1" x14ac:dyDescent="0.3">
      <c r="A24" s="4" t="s">
        <v>111</v>
      </c>
      <c r="C24" s="11" t="s">
        <v>107</v>
      </c>
      <c r="D24" s="4" t="s">
        <v>112</v>
      </c>
      <c r="E24" s="4" t="e">
        <f>B24/E8</f>
        <v>#DIV/0!</v>
      </c>
      <c r="F24" s="4" t="s">
        <v>113</v>
      </c>
      <c r="G24" s="4" t="e">
        <f>B24/B8</f>
        <v>#DIV/0!</v>
      </c>
      <c r="H24" s="11"/>
    </row>
    <row r="25" spans="1:10" s="4" customFormat="1" ht="19.5" customHeight="1" thickBot="1" x14ac:dyDescent="0.35">
      <c r="A25" s="29" t="s">
        <v>87</v>
      </c>
      <c r="B25" s="29"/>
      <c r="C25" s="29"/>
      <c r="D25" s="29"/>
      <c r="E25" s="29"/>
      <c r="F25" s="29"/>
      <c r="G25" s="29"/>
      <c r="H25" s="29"/>
      <c r="I25" s="29"/>
      <c r="J25" s="29"/>
    </row>
    <row r="26" spans="1:10" s="6" customFormat="1" ht="13.2" customHeight="1" thickTop="1" x14ac:dyDescent="0.3">
      <c r="A26" s="4" t="s">
        <v>59</v>
      </c>
      <c r="B26" s="4"/>
      <c r="C26" s="11" t="s">
        <v>25</v>
      </c>
      <c r="D26" s="4"/>
      <c r="E26" s="27" t="s">
        <v>85</v>
      </c>
      <c r="F26" s="27"/>
      <c r="G26" s="27"/>
      <c r="H26" s="27"/>
      <c r="I26" s="23" t="s">
        <v>84</v>
      </c>
      <c r="J26" s="23"/>
    </row>
    <row r="27" spans="1:10" s="4" customFormat="1" ht="16.2" customHeight="1" thickBot="1" x14ac:dyDescent="0.35">
      <c r="A27" s="29" t="s">
        <v>26</v>
      </c>
      <c r="B27" s="29"/>
      <c r="C27" s="29"/>
      <c r="D27" s="29"/>
      <c r="E27" s="29"/>
      <c r="F27" s="29"/>
      <c r="G27" s="29"/>
      <c r="H27" s="29"/>
      <c r="I27" s="29"/>
      <c r="J27" s="29"/>
    </row>
    <row r="28" spans="1:10" s="4" customFormat="1" ht="14.25" customHeight="1" thickTop="1" x14ac:dyDescent="0.3">
      <c r="A28" s="4" t="s">
        <v>61</v>
      </c>
      <c r="C28" s="11" t="s">
        <v>25</v>
      </c>
      <c r="E28" s="23" t="s">
        <v>28</v>
      </c>
      <c r="F28" s="23"/>
      <c r="G28" s="4" t="e">
        <f>B28/B19*100</f>
        <v>#DIV/0!</v>
      </c>
      <c r="H28" s="11" t="s">
        <v>13</v>
      </c>
    </row>
    <row r="29" spans="1:10" s="4" customFormat="1" ht="14.25" customHeight="1" x14ac:dyDescent="0.3">
      <c r="A29" s="4" t="s">
        <v>27</v>
      </c>
      <c r="C29" s="11" t="s">
        <v>25</v>
      </c>
      <c r="E29" s="22" t="s">
        <v>81</v>
      </c>
      <c r="F29" s="22"/>
      <c r="G29" s="4" t="e">
        <f>B29/B20*100</f>
        <v>#DIV/0!</v>
      </c>
      <c r="H29" s="11" t="s">
        <v>13</v>
      </c>
    </row>
    <row r="30" spans="1:10" s="4" customFormat="1" ht="14.25" customHeight="1" x14ac:dyDescent="0.3">
      <c r="A30" s="4" t="s">
        <v>29</v>
      </c>
      <c r="C30" s="11" t="s">
        <v>25</v>
      </c>
      <c r="E30" s="22" t="s">
        <v>30</v>
      </c>
      <c r="F30" s="22"/>
      <c r="G30" s="4" t="e">
        <f>B30/B8^0.294</f>
        <v>#DIV/0!</v>
      </c>
      <c r="H30" s="11"/>
    </row>
    <row r="31" spans="1:10" s="4" customFormat="1" ht="14.25" customHeight="1" x14ac:dyDescent="0.3">
      <c r="A31" s="4" t="s">
        <v>62</v>
      </c>
      <c r="C31" s="11" t="s">
        <v>63</v>
      </c>
      <c r="E31" s="22" t="s">
        <v>31</v>
      </c>
      <c r="F31" s="22"/>
      <c r="G31" s="4" t="e">
        <f>B30/B12</f>
        <v>#DIV/0!</v>
      </c>
      <c r="H31" s="11"/>
    </row>
    <row r="32" spans="1:10" s="4" customFormat="1" ht="14.25" customHeight="1" thickBot="1" x14ac:dyDescent="0.35">
      <c r="A32" s="29" t="s">
        <v>32</v>
      </c>
      <c r="B32" s="29"/>
      <c r="C32" s="29"/>
      <c r="D32" s="29"/>
      <c r="E32" s="29"/>
      <c r="F32" s="29"/>
      <c r="G32" s="29"/>
      <c r="H32" s="29"/>
      <c r="I32" s="29"/>
      <c r="J32" s="29"/>
    </row>
    <row r="33" spans="1:10" s="4" customFormat="1" ht="14.25" customHeight="1" thickTop="1" x14ac:dyDescent="0.3">
      <c r="A33" s="4" t="s">
        <v>33</v>
      </c>
      <c r="B33" s="24" t="s">
        <v>34</v>
      </c>
      <c r="C33" s="24"/>
      <c r="D33" s="24"/>
      <c r="E33" s="2"/>
      <c r="H33" s="11"/>
    </row>
    <row r="34" spans="1:10" ht="14.4" x14ac:dyDescent="0.3">
      <c r="A34" s="4" t="s">
        <v>36</v>
      </c>
      <c r="B34" s="4"/>
      <c r="C34" s="11" t="s">
        <v>37</v>
      </c>
      <c r="D34" s="4"/>
      <c r="E34" s="22" t="s">
        <v>38</v>
      </c>
      <c r="F34" s="22"/>
      <c r="G34" s="4" t="e">
        <f>B34/B35</f>
        <v>#DIV/0!</v>
      </c>
      <c r="H34" s="11"/>
      <c r="I34" s="4"/>
      <c r="J34" s="4"/>
    </row>
    <row r="35" spans="1:10" s="6" customFormat="1" ht="14.4" x14ac:dyDescent="0.3">
      <c r="A35" s="4" t="s">
        <v>39</v>
      </c>
      <c r="B35" s="4"/>
      <c r="C35" s="11" t="s">
        <v>37</v>
      </c>
      <c r="D35" s="4"/>
      <c r="E35" s="4"/>
      <c r="F35" s="4"/>
      <c r="G35" s="4"/>
      <c r="H35" s="11"/>
      <c r="I35" s="4"/>
      <c r="J35" s="4"/>
    </row>
    <row r="36" spans="1:10" s="4" customFormat="1" ht="25.2" customHeight="1" x14ac:dyDescent="0.3">
      <c r="A36" s="6" t="s">
        <v>102</v>
      </c>
      <c r="B36" s="21" t="s">
        <v>122</v>
      </c>
      <c r="C36" s="21"/>
      <c r="D36" s="21"/>
      <c r="E36" s="22" t="s">
        <v>35</v>
      </c>
      <c r="F36" s="22"/>
      <c r="G36" s="4" t="s">
        <v>5</v>
      </c>
      <c r="H36" s="13"/>
      <c r="I36" s="6"/>
      <c r="J36" s="6"/>
    </row>
    <row r="37" spans="1:10" s="6" customFormat="1" ht="14.4" x14ac:dyDescent="0.3">
      <c r="A37" s="4" t="s">
        <v>40</v>
      </c>
      <c r="B37" s="4"/>
      <c r="C37" s="11" t="s">
        <v>41</v>
      </c>
      <c r="D37" s="4"/>
      <c r="E37" s="22" t="s">
        <v>42</v>
      </c>
      <c r="F37" s="22"/>
      <c r="G37" s="4" t="e">
        <f>B34/(B37/100)</f>
        <v>#DIV/0!</v>
      </c>
      <c r="H37" s="11"/>
      <c r="I37" s="4"/>
      <c r="J37" s="4"/>
    </row>
    <row r="38" spans="1:10" s="4" customFormat="1" ht="14.4" x14ac:dyDescent="0.3">
      <c r="A38" s="4" t="s">
        <v>88</v>
      </c>
      <c r="C38" s="11" t="s">
        <v>121</v>
      </c>
      <c r="E38" s="22" t="s">
        <v>89</v>
      </c>
      <c r="F38" s="22"/>
      <c r="G38" s="4" t="e">
        <f>B34*100/B38</f>
        <v>#DIV/0!</v>
      </c>
      <c r="H38" s="11"/>
    </row>
    <row r="39" spans="1:10" s="4" customFormat="1" ht="14.4" x14ac:dyDescent="0.3">
      <c r="A39" s="4" t="s">
        <v>120</v>
      </c>
      <c r="C39" s="11" t="s">
        <v>121</v>
      </c>
      <c r="H39" s="11"/>
    </row>
    <row r="40" spans="1:10" s="4" customFormat="1" thickBot="1" x14ac:dyDescent="0.35">
      <c r="A40" s="28" t="s">
        <v>90</v>
      </c>
      <c r="B40" s="28"/>
      <c r="C40" s="28"/>
      <c r="D40" s="28"/>
      <c r="E40" s="28"/>
      <c r="F40" s="28"/>
      <c r="G40" s="28"/>
      <c r="H40" s="28"/>
      <c r="I40" s="28"/>
      <c r="J40" s="28"/>
    </row>
    <row r="41" spans="1:10" s="4" customFormat="1" ht="14.4" x14ac:dyDescent="0.3">
      <c r="A41" s="4" t="s">
        <v>44</v>
      </c>
      <c r="B41" s="31">
        <v>0</v>
      </c>
      <c r="C41" s="31"/>
      <c r="D41" s="31"/>
      <c r="H41" s="11"/>
    </row>
    <row r="42" spans="1:10" s="4" customFormat="1" ht="13.2" customHeight="1" x14ac:dyDescent="0.3">
      <c r="A42" s="4" t="s">
        <v>45</v>
      </c>
      <c r="C42" s="11" t="s">
        <v>43</v>
      </c>
      <c r="E42" s="22" t="s">
        <v>46</v>
      </c>
      <c r="F42" s="22"/>
      <c r="G42" s="4">
        <f>4*(B42^2)</f>
        <v>0</v>
      </c>
      <c r="H42" s="11" t="s">
        <v>47</v>
      </c>
    </row>
    <row r="43" spans="1:10" s="4" customFormat="1" ht="19.5" customHeight="1" thickBot="1" x14ac:dyDescent="0.35">
      <c r="A43" s="29" t="s">
        <v>48</v>
      </c>
      <c r="B43" s="29"/>
      <c r="C43" s="29"/>
      <c r="D43" s="29"/>
      <c r="E43" s="29"/>
      <c r="F43" s="29"/>
      <c r="G43" s="29"/>
      <c r="H43" s="29"/>
      <c r="I43" s="29"/>
      <c r="J43" s="29"/>
    </row>
    <row r="44" spans="1:10" s="6" customFormat="1" ht="16.8" customHeight="1" thickTop="1" x14ac:dyDescent="0.3">
      <c r="A44" s="6" t="s">
        <v>33</v>
      </c>
      <c r="B44" s="25" t="s">
        <v>34</v>
      </c>
      <c r="C44" s="25"/>
      <c r="D44" s="25"/>
      <c r="E44" s="25" t="s">
        <v>91</v>
      </c>
      <c r="F44" s="25"/>
      <c r="G44" s="6" t="s">
        <v>5</v>
      </c>
      <c r="H44" s="16" t="s">
        <v>92</v>
      </c>
      <c r="I44" s="49" t="s">
        <v>69</v>
      </c>
      <c r="J44" s="49"/>
    </row>
    <row r="45" spans="1:10" s="4" customFormat="1" ht="14.25" customHeight="1" x14ac:dyDescent="0.3">
      <c r="A45" s="9" t="s">
        <v>51</v>
      </c>
      <c r="B45" s="4">
        <f>B12</f>
        <v>0</v>
      </c>
      <c r="C45" s="11" t="s">
        <v>25</v>
      </c>
      <c r="E45" s="7"/>
      <c r="H45" s="11"/>
    </row>
    <row r="46" spans="1:10" s="4" customFormat="1" ht="16.8" customHeight="1" x14ac:dyDescent="0.3">
      <c r="A46" s="4" t="s">
        <v>49</v>
      </c>
      <c r="C46" s="11" t="s">
        <v>43</v>
      </c>
      <c r="E46" s="22" t="s">
        <v>46</v>
      </c>
      <c r="F46" s="22"/>
      <c r="G46" s="4">
        <f>4*(B46^2)</f>
        <v>0</v>
      </c>
      <c r="H46" s="11" t="s">
        <v>47</v>
      </c>
    </row>
    <row r="47" spans="1:10" customFormat="1" ht="19.5" customHeight="1" x14ac:dyDescent="0.3">
      <c r="A47" t="s">
        <v>102</v>
      </c>
      <c r="B47" s="45" t="s">
        <v>103</v>
      </c>
      <c r="C47" s="45"/>
      <c r="D47" s="45"/>
      <c r="E47" s="45"/>
    </row>
    <row r="48" spans="1:10" s="4" customFormat="1" thickBot="1" x14ac:dyDescent="0.35">
      <c r="A48" s="28" t="s">
        <v>90</v>
      </c>
      <c r="B48" s="28"/>
      <c r="C48" s="28"/>
      <c r="D48" s="28"/>
      <c r="E48" s="28"/>
      <c r="F48" s="28"/>
      <c r="G48" s="28"/>
      <c r="H48" s="28"/>
      <c r="I48" s="28"/>
      <c r="J48" s="28"/>
    </row>
    <row r="49" spans="1:10" s="4" customFormat="1" ht="14.4" x14ac:dyDescent="0.3">
      <c r="A49" s="4" t="s">
        <v>44</v>
      </c>
      <c r="B49" s="4">
        <v>0</v>
      </c>
      <c r="C49" s="11"/>
      <c r="H49" s="11"/>
    </row>
    <row r="50" spans="1:10" s="4" customFormat="1" ht="13.8" customHeight="1" thickBot="1" x14ac:dyDescent="0.35">
      <c r="A50" s="4" t="s">
        <v>45</v>
      </c>
      <c r="C50" s="11" t="s">
        <v>43</v>
      </c>
      <c r="E50" s="22" t="s">
        <v>46</v>
      </c>
      <c r="F50" s="22"/>
      <c r="G50" s="4">
        <f>4*(B50^2)</f>
        <v>0</v>
      </c>
      <c r="H50" s="11" t="s">
        <v>47</v>
      </c>
    </row>
    <row r="51" spans="1:10" s="4" customFormat="1" ht="19.5" customHeight="1" thickBot="1" x14ac:dyDescent="0.35">
      <c r="A51" s="29" t="s">
        <v>50</v>
      </c>
      <c r="B51" s="29"/>
      <c r="C51" s="29"/>
      <c r="D51" s="29"/>
      <c r="E51" s="29"/>
      <c r="F51" s="29"/>
      <c r="G51" s="29"/>
      <c r="H51" s="29"/>
      <c r="I51" s="29"/>
      <c r="J51" s="29"/>
    </row>
    <row r="52" spans="1:10" s="4" customFormat="1" ht="14.25" customHeight="1" thickTop="1" x14ac:dyDescent="0.3">
      <c r="A52" s="6" t="s">
        <v>33</v>
      </c>
      <c r="B52" s="25" t="s">
        <v>34</v>
      </c>
      <c r="C52" s="25"/>
      <c r="D52" s="25"/>
      <c r="E52" s="30" t="s">
        <v>91</v>
      </c>
      <c r="F52" s="25"/>
      <c r="G52" s="6" t="s">
        <v>5</v>
      </c>
      <c r="H52" s="16" t="s">
        <v>93</v>
      </c>
      <c r="I52" s="49" t="s">
        <v>69</v>
      </c>
      <c r="J52" s="49"/>
    </row>
    <row r="53" spans="1:10" s="4" customFormat="1" ht="14.25" customHeight="1" x14ac:dyDescent="0.3">
      <c r="A53" s="9" t="s">
        <v>51</v>
      </c>
      <c r="C53" s="11" t="s">
        <v>25</v>
      </c>
      <c r="E53" s="22" t="s">
        <v>64</v>
      </c>
      <c r="F53" s="22"/>
      <c r="H53" s="11" t="s">
        <v>25</v>
      </c>
      <c r="I53" s="4" t="s">
        <v>73</v>
      </c>
      <c r="J53" s="4" t="e">
        <f>B45/B53</f>
        <v>#DIV/0!</v>
      </c>
    </row>
    <row r="54" spans="1:10" s="4" customFormat="1" ht="14.25" customHeight="1" x14ac:dyDescent="0.3">
      <c r="A54" s="4" t="s">
        <v>49</v>
      </c>
      <c r="C54" s="11" t="s">
        <v>43</v>
      </c>
      <c r="E54" s="22" t="s">
        <v>46</v>
      </c>
      <c r="F54" s="22"/>
      <c r="G54" s="4">
        <f>4*(B54^2)</f>
        <v>0</v>
      </c>
      <c r="H54" s="11" t="s">
        <v>47</v>
      </c>
    </row>
    <row r="55" spans="1:10" customFormat="1" ht="21.6" customHeight="1" x14ac:dyDescent="0.3">
      <c r="A55" t="s">
        <v>102</v>
      </c>
      <c r="B55" s="45" t="s">
        <v>103</v>
      </c>
      <c r="C55" s="45"/>
      <c r="D55" s="45"/>
      <c r="E55" s="45"/>
    </row>
    <row r="56" spans="1:10" s="4" customFormat="1" ht="14.25" customHeight="1" thickBot="1" x14ac:dyDescent="0.35">
      <c r="A56" s="28" t="s">
        <v>90</v>
      </c>
      <c r="B56" s="28"/>
      <c r="C56" s="28"/>
      <c r="D56" s="28"/>
      <c r="E56" s="28"/>
      <c r="F56" s="28"/>
      <c r="G56" s="28"/>
      <c r="H56" s="28"/>
      <c r="I56" s="28"/>
      <c r="J56" s="28"/>
    </row>
    <row r="57" spans="1:10" s="4" customFormat="1" ht="14.4" customHeight="1" x14ac:dyDescent="0.3">
      <c r="A57" s="4" t="s">
        <v>44</v>
      </c>
      <c r="B57" s="4">
        <v>0</v>
      </c>
      <c r="C57" s="11"/>
      <c r="H57" s="11"/>
    </row>
    <row r="58" spans="1:10" s="4" customFormat="1" ht="14.25" customHeight="1" x14ac:dyDescent="0.3">
      <c r="A58" s="4" t="s">
        <v>45</v>
      </c>
      <c r="C58" s="11" t="s">
        <v>43</v>
      </c>
      <c r="E58" s="22" t="s">
        <v>46</v>
      </c>
      <c r="F58" s="22"/>
      <c r="G58" s="4">
        <f>4*(B58^2)</f>
        <v>0</v>
      </c>
      <c r="H58" s="11" t="s">
        <v>47</v>
      </c>
    </row>
    <row r="59" spans="1:10" s="4" customFormat="1" ht="14.25" customHeight="1" thickBot="1" x14ac:dyDescent="0.35">
      <c r="A59" s="29" t="s">
        <v>52</v>
      </c>
      <c r="B59" s="29"/>
      <c r="C59" s="29"/>
      <c r="D59" s="29"/>
      <c r="E59" s="29"/>
      <c r="F59" s="29"/>
      <c r="G59" s="29"/>
      <c r="H59" s="29"/>
      <c r="I59" s="29"/>
      <c r="J59" s="29"/>
    </row>
    <row r="60" spans="1:10" s="4" customFormat="1" ht="14.25" customHeight="1" thickTop="1" x14ac:dyDescent="0.3">
      <c r="A60" s="4" t="s">
        <v>33</v>
      </c>
      <c r="B60" s="22" t="s">
        <v>34</v>
      </c>
      <c r="C60" s="22"/>
      <c r="D60" s="22"/>
      <c r="G60" s="31"/>
      <c r="H60" s="31"/>
    </row>
    <row r="61" spans="1:10" customFormat="1" ht="18" customHeight="1" x14ac:dyDescent="0.3">
      <c r="A61" t="s">
        <v>102</v>
      </c>
      <c r="B61" s="45" t="s">
        <v>103</v>
      </c>
      <c r="C61" s="45"/>
      <c r="D61" s="45"/>
      <c r="E61" s="45"/>
    </row>
    <row r="62" spans="1:10" s="4" customFormat="1" ht="14.25" customHeight="1" thickBot="1" x14ac:dyDescent="0.35">
      <c r="A62" s="28" t="s">
        <v>53</v>
      </c>
      <c r="B62" s="28"/>
      <c r="C62" s="28"/>
      <c r="D62" s="28"/>
      <c r="E62" s="28"/>
      <c r="F62" s="28"/>
      <c r="G62" s="28"/>
      <c r="H62" s="28"/>
      <c r="I62" s="28"/>
      <c r="J62" s="28"/>
    </row>
    <row r="63" spans="1:10" s="4" customFormat="1" ht="14.25" customHeight="1" x14ac:dyDescent="0.3">
      <c r="A63" s="4" t="s">
        <v>94</v>
      </c>
      <c r="B63" s="4">
        <v>0</v>
      </c>
      <c r="C63" s="11"/>
      <c r="H63" s="11"/>
    </row>
    <row r="64" spans="1:10" s="4" customFormat="1" ht="14.25" customHeight="1" x14ac:dyDescent="0.3">
      <c r="A64" s="4" t="s">
        <v>45</v>
      </c>
      <c r="C64" s="11" t="s">
        <v>43</v>
      </c>
      <c r="E64" s="22" t="s">
        <v>46</v>
      </c>
      <c r="F64" s="22"/>
      <c r="G64" s="4">
        <f>4*(B64^2)</f>
        <v>0</v>
      </c>
      <c r="H64" s="11" t="s">
        <v>47</v>
      </c>
    </row>
    <row r="65" spans="1:10" s="4" customFormat="1" ht="14.25" customHeight="1" thickBot="1" x14ac:dyDescent="0.35">
      <c r="A65" s="29" t="s">
        <v>96</v>
      </c>
      <c r="B65" s="29"/>
      <c r="C65" s="29"/>
      <c r="D65" s="29"/>
      <c r="E65" s="29"/>
      <c r="F65" s="29"/>
      <c r="G65" s="48" t="s">
        <v>97</v>
      </c>
      <c r="H65" s="48"/>
      <c r="I65" s="48"/>
      <c r="J65" s="8"/>
    </row>
    <row r="66" spans="1:10" s="4" customFormat="1" ht="14.25" customHeight="1" thickTop="1" x14ac:dyDescent="0.3">
      <c r="A66" s="27" t="s">
        <v>98</v>
      </c>
      <c r="B66" s="27"/>
      <c r="C66" s="27"/>
      <c r="D66" s="27"/>
      <c r="G66" s="4">
        <v>0</v>
      </c>
      <c r="H66" s="11"/>
    </row>
    <row r="67" spans="1:10" s="4" customFormat="1" ht="14.25" customHeight="1" x14ac:dyDescent="0.3">
      <c r="A67" s="4" t="s">
        <v>99</v>
      </c>
      <c r="C67" s="11"/>
      <c r="G67" s="4">
        <f>B63</f>
        <v>0</v>
      </c>
      <c r="H67" s="11"/>
    </row>
    <row r="68" spans="1:10" s="4" customFormat="1" ht="14.25" customHeight="1" thickBot="1" x14ac:dyDescent="0.35">
      <c r="A68" s="26" t="s">
        <v>54</v>
      </c>
      <c r="B68" s="26"/>
      <c r="C68" s="26"/>
      <c r="D68" s="26"/>
      <c r="E68" s="26"/>
      <c r="F68" s="26"/>
      <c r="G68" s="26"/>
      <c r="H68" s="26"/>
      <c r="I68" s="26"/>
      <c r="J68" s="26"/>
    </row>
    <row r="69" spans="1:10" s="4" customFormat="1" ht="23.4" customHeight="1" thickTop="1" x14ac:dyDescent="0.3">
      <c r="A69" s="31" t="s">
        <v>117</v>
      </c>
      <c r="B69" s="31"/>
      <c r="C69" s="31"/>
      <c r="D69" s="31"/>
      <c r="G69" s="2"/>
      <c r="H69" s="27" t="s">
        <v>71</v>
      </c>
      <c r="I69" s="27"/>
    </row>
    <row r="70" spans="1:10" s="4" customFormat="1" ht="19.5" customHeight="1" x14ac:dyDescent="0.3">
      <c r="A70" s="31" t="s">
        <v>104</v>
      </c>
      <c r="B70" s="31"/>
      <c r="C70" s="31"/>
      <c r="D70" s="31"/>
      <c r="G70" s="2"/>
      <c r="H70" s="31" t="s">
        <v>72</v>
      </c>
      <c r="I70" s="31"/>
    </row>
    <row r="71" spans="1:10" s="4" customFormat="1" ht="24" customHeight="1" x14ac:dyDescent="0.3">
      <c r="A71" s="31" t="s">
        <v>65</v>
      </c>
      <c r="B71" s="31"/>
      <c r="C71" s="31"/>
      <c r="D71" s="31"/>
      <c r="G71" s="2"/>
      <c r="H71" s="31" t="s">
        <v>70</v>
      </c>
      <c r="I71" s="31"/>
    </row>
    <row r="72" spans="1:10" s="4" customFormat="1" ht="28.2" customHeight="1" x14ac:dyDescent="0.3">
      <c r="A72" s="31" t="s">
        <v>66</v>
      </c>
      <c r="B72" s="31"/>
      <c r="C72" s="31"/>
      <c r="D72" s="31"/>
      <c r="G72" s="2"/>
      <c r="H72" s="31" t="s">
        <v>71</v>
      </c>
      <c r="I72" s="31"/>
    </row>
    <row r="73" spans="1:10" s="4" customFormat="1" ht="14.25" customHeight="1" x14ac:dyDescent="0.3">
      <c r="A73" s="33" t="s">
        <v>75</v>
      </c>
      <c r="B73" s="33"/>
      <c r="C73" s="33"/>
      <c r="D73" s="33"/>
      <c r="G73" s="2"/>
      <c r="H73" s="31" t="s">
        <v>72</v>
      </c>
      <c r="I73" s="31"/>
    </row>
    <row r="74" spans="1:10" s="4" customFormat="1" ht="15.75" customHeight="1" x14ac:dyDescent="0.3">
      <c r="A74" s="9" t="s">
        <v>76</v>
      </c>
      <c r="B74" s="4" t="s">
        <v>5</v>
      </c>
      <c r="C74" s="11"/>
      <c r="D74" s="9" t="s">
        <v>77</v>
      </c>
      <c r="E74" s="4" t="s">
        <v>5</v>
      </c>
      <c r="G74" s="9" t="s">
        <v>78</v>
      </c>
      <c r="H74" s="11" t="s">
        <v>5</v>
      </c>
    </row>
    <row r="75" spans="1:10" s="4" customFormat="1" ht="14.25" customHeight="1" x14ac:dyDescent="0.3">
      <c r="A75" s="31" t="s">
        <v>79</v>
      </c>
      <c r="B75" s="31"/>
      <c r="C75" s="31"/>
      <c r="D75" s="4" t="s">
        <v>45</v>
      </c>
      <c r="F75" s="4" t="s">
        <v>43</v>
      </c>
      <c r="G75" s="11" t="s">
        <v>46</v>
      </c>
      <c r="H75" s="11"/>
      <c r="I75" s="4">
        <f>4*(E75^2)</f>
        <v>0</v>
      </c>
      <c r="J75" s="4" t="s">
        <v>47</v>
      </c>
    </row>
    <row r="76" spans="1:10" s="4" customFormat="1" ht="24" customHeight="1" x14ac:dyDescent="0.3">
      <c r="A76" s="4" t="s">
        <v>80</v>
      </c>
      <c r="B76" s="32" t="s">
        <v>5</v>
      </c>
      <c r="C76" s="31"/>
      <c r="D76" s="31"/>
      <c r="E76" s="31"/>
      <c r="F76" s="31"/>
      <c r="G76" s="31"/>
      <c r="H76" s="31"/>
    </row>
    <row r="77" spans="1:10" s="4" customFormat="1" ht="16.2" customHeight="1" thickBot="1" x14ac:dyDescent="0.35">
      <c r="A77" s="26" t="s">
        <v>67</v>
      </c>
      <c r="B77" s="26"/>
      <c r="C77" s="26"/>
      <c r="D77" s="26"/>
      <c r="E77" s="26"/>
      <c r="F77" s="26"/>
      <c r="G77" s="26"/>
      <c r="H77" s="26"/>
      <c r="I77" s="26"/>
      <c r="J77" s="26"/>
    </row>
    <row r="78" spans="1:10" s="4" customFormat="1" ht="17.25" customHeight="1" thickTop="1" x14ac:dyDescent="0.3">
      <c r="A78" s="23"/>
      <c r="B78" s="23"/>
      <c r="C78" s="23"/>
      <c r="D78" s="23"/>
      <c r="E78" s="23"/>
      <c r="F78" s="23"/>
      <c r="G78" s="23"/>
      <c r="H78" s="23"/>
      <c r="I78" s="23"/>
      <c r="J78" s="23"/>
    </row>
    <row r="79" spans="1:10" s="4" customFormat="1" ht="19.5" customHeight="1" x14ac:dyDescent="0.3">
      <c r="A79" s="22"/>
      <c r="B79" s="22"/>
      <c r="C79" s="22"/>
      <c r="D79" s="22"/>
      <c r="E79" s="22"/>
      <c r="F79" s="22"/>
      <c r="G79" s="22"/>
      <c r="H79" s="22"/>
      <c r="I79" s="22"/>
      <c r="J79" s="22"/>
    </row>
    <row r="80" spans="1:10" s="1" customFormat="1" ht="14.25" customHeight="1" thickBot="1" x14ac:dyDescent="0.35">
      <c r="A80" s="26" t="s">
        <v>68</v>
      </c>
      <c r="B80" s="26"/>
      <c r="C80" s="26"/>
      <c r="D80" s="26"/>
      <c r="E80" s="26"/>
      <c r="F80" s="26"/>
      <c r="G80" s="26"/>
      <c r="H80" s="26"/>
      <c r="I80" s="26"/>
      <c r="J80" s="26"/>
    </row>
    <row r="81" spans="1:10" s="4" customFormat="1" ht="14.25" customHeight="1" thickTop="1" x14ac:dyDescent="0.3">
      <c r="A81" s="23"/>
      <c r="B81" s="23"/>
      <c r="C81" s="23"/>
      <c r="D81" s="23"/>
      <c r="E81" s="23"/>
      <c r="F81" s="23"/>
      <c r="G81" s="23"/>
      <c r="H81" s="23"/>
      <c r="I81" s="23"/>
      <c r="J81" s="23"/>
    </row>
    <row r="82" spans="1:10" s="4" customFormat="1" ht="14.25" customHeight="1" x14ac:dyDescent="0.3">
      <c r="A82" s="22"/>
      <c r="B82" s="22"/>
      <c r="C82" s="22"/>
      <c r="D82" s="22"/>
      <c r="E82" s="22"/>
      <c r="F82" s="22"/>
      <c r="G82" s="22"/>
      <c r="H82" s="22"/>
      <c r="I82" s="22"/>
      <c r="J82" s="22"/>
    </row>
    <row r="83" spans="1:10" s="4" customFormat="1" ht="14.25" customHeight="1" x14ac:dyDescent="0.3">
      <c r="A83" s="22"/>
      <c r="B83" s="22"/>
      <c r="C83" s="22"/>
      <c r="D83" s="22"/>
      <c r="E83" s="22"/>
      <c r="F83" s="22"/>
      <c r="G83" s="22"/>
      <c r="H83" s="22"/>
      <c r="I83" s="22"/>
      <c r="J83" s="22"/>
    </row>
    <row r="84" spans="1:10" s="4" customFormat="1" ht="14.25" customHeight="1" x14ac:dyDescent="0.3">
      <c r="A84" s="22"/>
      <c r="B84" s="22"/>
      <c r="C84" s="22"/>
      <c r="D84" s="22"/>
      <c r="E84" s="22"/>
      <c r="F84" s="22"/>
      <c r="G84" s="22"/>
      <c r="H84" s="22"/>
      <c r="I84" s="22"/>
      <c r="J84" s="22"/>
    </row>
    <row r="85" spans="1:10" s="4" customFormat="1" ht="27" customHeight="1" x14ac:dyDescent="0.3">
      <c r="A85" s="44" t="s">
        <v>82</v>
      </c>
      <c r="B85" s="22"/>
      <c r="C85" s="22"/>
      <c r="D85" s="22"/>
      <c r="E85" s="22"/>
      <c r="F85" s="22"/>
      <c r="G85" s="22"/>
      <c r="H85" s="22"/>
      <c r="I85" s="22"/>
      <c r="J85" s="22"/>
    </row>
    <row r="86" spans="1:10" s="4" customFormat="1" ht="14.25" customHeight="1" thickBot="1" x14ac:dyDescent="0.35">
      <c r="A86" s="37" t="s">
        <v>55</v>
      </c>
      <c r="B86" s="37"/>
      <c r="C86" s="31"/>
      <c r="D86" s="31"/>
      <c r="E86" s="31"/>
      <c r="F86" s="31"/>
      <c r="G86" s="31"/>
      <c r="H86" s="31"/>
    </row>
    <row r="87" spans="1:10" s="4" customFormat="1" ht="14.25" customHeight="1" thickTop="1" thickBot="1" x14ac:dyDescent="0.35">
      <c r="A87" s="17" t="s">
        <v>115</v>
      </c>
      <c r="B87" s="18"/>
      <c r="C87" s="14"/>
      <c r="D87" s="3"/>
      <c r="E87" s="3"/>
      <c r="F87" s="3"/>
      <c r="G87" s="3"/>
      <c r="H87" s="14"/>
    </row>
    <row r="88" spans="1:10" s="4" customFormat="1" ht="14.25" customHeight="1" thickTop="1" thickBot="1" x14ac:dyDescent="0.35">
      <c r="A88" s="43" t="s">
        <v>100</v>
      </c>
      <c r="B88" s="43"/>
      <c r="C88" s="43"/>
      <c r="D88" s="43"/>
      <c r="E88" s="43"/>
      <c r="F88" s="43"/>
      <c r="G88" s="43"/>
      <c r="H88" s="43"/>
      <c r="I88" s="43"/>
      <c r="J88" s="43"/>
    </row>
    <row r="89" spans="1:10" s="4" customFormat="1" ht="29.4" customHeight="1" x14ac:dyDescent="0.3">
      <c r="A89" s="42" t="s">
        <v>101</v>
      </c>
      <c r="B89" s="42"/>
      <c r="C89" s="42"/>
      <c r="D89" s="42"/>
      <c r="E89" s="42"/>
      <c r="F89" s="42"/>
      <c r="G89" s="42"/>
      <c r="H89" s="42"/>
      <c r="I89" s="42"/>
      <c r="J89" s="42"/>
    </row>
    <row r="90" spans="1:10" s="4" customFormat="1" ht="14.25" customHeight="1" x14ac:dyDescent="0.3">
      <c r="C90" s="11"/>
      <c r="H90" s="11"/>
    </row>
    <row r="91" spans="1:10" s="4" customFormat="1" ht="15" customHeight="1" x14ac:dyDescent="0.3">
      <c r="C91" s="11"/>
      <c r="H91" s="11"/>
    </row>
    <row r="92" spans="1:10" s="4" customFormat="1" ht="15" customHeight="1" x14ac:dyDescent="0.3">
      <c r="C92" s="11"/>
      <c r="H92" s="11"/>
    </row>
    <row r="93" spans="1:10" s="4" customFormat="1" ht="15" customHeight="1" x14ac:dyDescent="0.3">
      <c r="C93" s="11"/>
      <c r="H93" s="11"/>
    </row>
    <row r="94" spans="1:10" s="4" customFormat="1" ht="15" customHeight="1" x14ac:dyDescent="0.3">
      <c r="C94" s="11"/>
      <c r="H94" s="11"/>
    </row>
    <row r="95" spans="1:10" s="4" customFormat="1" ht="15" customHeight="1" x14ac:dyDescent="0.3">
      <c r="C95" s="11"/>
      <c r="H95" s="11"/>
    </row>
    <row r="96" spans="1:10" s="4" customFormat="1" ht="14.25" customHeight="1" x14ac:dyDescent="0.3">
      <c r="C96" s="11"/>
      <c r="H96" s="11"/>
    </row>
    <row r="97" spans="1:17" s="4" customFormat="1" ht="14.25" customHeight="1" x14ac:dyDescent="0.3">
      <c r="C97" s="11"/>
      <c r="H97" s="11"/>
    </row>
    <row r="98" spans="1:17" s="4" customFormat="1" ht="15.75" customHeight="1" x14ac:dyDescent="0.3">
      <c r="C98" s="11"/>
      <c r="H98" s="11"/>
      <c r="K98" s="10"/>
      <c r="L98" s="10"/>
      <c r="M98" s="10"/>
      <c r="N98" s="10"/>
      <c r="O98" s="10"/>
      <c r="P98" s="10"/>
      <c r="Q98" s="10"/>
    </row>
    <row r="99" spans="1:17" ht="15.75" customHeight="1" x14ac:dyDescent="0.3">
      <c r="A99" s="4"/>
      <c r="B99" s="4"/>
      <c r="C99" s="11"/>
      <c r="D99" s="4"/>
      <c r="E99" s="4"/>
      <c r="F99" s="4"/>
      <c r="G99" s="4"/>
      <c r="H99" s="11"/>
      <c r="I99" s="4"/>
      <c r="J99" s="4"/>
      <c r="K99" s="10"/>
      <c r="L99" s="10"/>
      <c r="M99" s="10"/>
      <c r="N99" s="10"/>
      <c r="O99" s="10"/>
      <c r="P99" s="10"/>
      <c r="Q99" s="10"/>
    </row>
    <row r="100" spans="1:17" ht="15.75" customHeight="1" x14ac:dyDescent="0.3">
      <c r="A100" s="4"/>
      <c r="B100" s="4"/>
      <c r="C100" s="11"/>
      <c r="D100" s="4"/>
      <c r="E100" s="4"/>
      <c r="F100" s="4"/>
      <c r="G100" s="4"/>
      <c r="H100" s="11"/>
      <c r="I100" s="4"/>
      <c r="J100" s="4"/>
      <c r="K100" s="10"/>
      <c r="L100" s="10"/>
      <c r="M100" s="10"/>
      <c r="N100" s="10"/>
      <c r="O100" s="10"/>
      <c r="P100" s="10"/>
      <c r="Q100" s="10"/>
    </row>
    <row r="101" spans="1:17" ht="16.5" customHeight="1" x14ac:dyDescent="0.3">
      <c r="A101" s="4"/>
      <c r="B101" s="4"/>
      <c r="C101" s="11"/>
      <c r="D101" s="4"/>
      <c r="E101" s="4"/>
      <c r="F101" s="4"/>
      <c r="G101" s="4"/>
      <c r="H101" s="11"/>
      <c r="I101" s="4"/>
      <c r="J101" s="4"/>
      <c r="K101" s="10"/>
      <c r="L101" s="10"/>
      <c r="M101" s="10"/>
      <c r="N101" s="10"/>
      <c r="O101" s="10"/>
      <c r="P101" s="10"/>
      <c r="Q101" s="10"/>
    </row>
    <row r="102" spans="1:17" ht="16.5" customHeight="1" x14ac:dyDescent="0.3">
      <c r="A102" s="4"/>
      <c r="B102" s="4"/>
      <c r="C102" s="11"/>
      <c r="D102" s="4"/>
      <c r="E102" s="4"/>
      <c r="F102" s="4"/>
      <c r="G102" s="4"/>
      <c r="H102" s="11"/>
      <c r="I102" s="4"/>
      <c r="J102" s="4"/>
      <c r="K102" s="10"/>
      <c r="L102" s="10"/>
      <c r="M102" s="10"/>
      <c r="N102" s="10"/>
      <c r="O102" s="10"/>
      <c r="P102" s="10"/>
      <c r="Q102" s="10"/>
    </row>
    <row r="103" spans="1:17" ht="16.5" customHeight="1" x14ac:dyDescent="0.3">
      <c r="A103" s="4"/>
      <c r="B103" s="4"/>
      <c r="C103" s="11"/>
      <c r="D103" s="4"/>
      <c r="E103" s="4"/>
      <c r="F103" s="4"/>
      <c r="G103" s="4"/>
      <c r="H103" s="11"/>
      <c r="I103" s="4"/>
      <c r="J103" s="4"/>
      <c r="K103" s="10"/>
      <c r="L103" s="10"/>
      <c r="M103" s="10"/>
      <c r="N103" s="10"/>
      <c r="O103" s="10"/>
      <c r="P103" s="10"/>
      <c r="Q103" s="10"/>
    </row>
    <row r="104" spans="1:17" ht="18.75" customHeight="1" x14ac:dyDescent="0.3">
      <c r="A104" s="4"/>
      <c r="B104" s="4"/>
      <c r="C104" s="11"/>
      <c r="D104" s="4"/>
      <c r="E104" s="4"/>
      <c r="F104" s="4"/>
      <c r="G104" s="4"/>
      <c r="H104" s="11"/>
      <c r="I104" s="4"/>
      <c r="J104" s="4"/>
      <c r="K104" s="10"/>
      <c r="L104" s="10"/>
      <c r="M104" s="10"/>
      <c r="N104" s="10"/>
      <c r="O104" s="10"/>
      <c r="P104" s="10"/>
      <c r="Q104" s="10"/>
    </row>
    <row r="105" spans="1:17" ht="14.25" customHeight="1" x14ac:dyDescent="0.3">
      <c r="A105" s="4"/>
      <c r="B105" s="4"/>
      <c r="C105" s="11"/>
      <c r="D105" s="4"/>
      <c r="E105" s="4"/>
      <c r="F105" s="4"/>
      <c r="G105" s="4"/>
      <c r="H105" s="11"/>
      <c r="I105" s="4"/>
      <c r="J105" s="4"/>
      <c r="K105" s="10"/>
      <c r="L105" s="10"/>
      <c r="M105" s="10"/>
      <c r="N105" s="10"/>
      <c r="O105" s="10"/>
      <c r="P105" s="10"/>
      <c r="Q105" s="10"/>
    </row>
    <row r="106" spans="1:17" ht="15" customHeight="1" x14ac:dyDescent="0.3">
      <c r="A106" s="10"/>
      <c r="B106" s="10"/>
      <c r="C106" s="15"/>
      <c r="D106" s="10"/>
      <c r="E106" s="10"/>
      <c r="F106" s="10"/>
      <c r="G106" s="10"/>
      <c r="H106" s="15"/>
      <c r="I106" s="10"/>
      <c r="J106" s="10"/>
    </row>
    <row r="107" spans="1:17" ht="15" customHeight="1" x14ac:dyDescent="0.3">
      <c r="A107" s="10"/>
      <c r="B107" s="10"/>
      <c r="C107" s="15"/>
      <c r="D107" s="10"/>
      <c r="E107" s="10"/>
      <c r="F107" s="10"/>
      <c r="G107" s="10"/>
      <c r="H107" s="15"/>
      <c r="I107" s="10"/>
      <c r="J107" s="10"/>
    </row>
    <row r="108" spans="1:17" ht="15" customHeight="1" x14ac:dyDescent="0.3">
      <c r="A108" s="10"/>
      <c r="B108" s="10"/>
      <c r="C108" s="15"/>
      <c r="D108" s="10"/>
      <c r="E108" s="10"/>
      <c r="F108" s="10"/>
      <c r="G108" s="10"/>
      <c r="H108" s="15"/>
      <c r="I108" s="10"/>
      <c r="J108" s="10"/>
    </row>
    <row r="109" spans="1:17" ht="15" customHeight="1" x14ac:dyDescent="0.3">
      <c r="A109" s="10"/>
      <c r="B109" s="10"/>
      <c r="C109" s="15"/>
      <c r="D109" s="10"/>
      <c r="E109" s="10"/>
      <c r="F109" s="10"/>
      <c r="G109" s="10"/>
      <c r="H109" s="15"/>
      <c r="I109" s="10"/>
      <c r="J109" s="10"/>
    </row>
    <row r="110" spans="1:17" ht="15" customHeight="1" x14ac:dyDescent="0.3">
      <c r="A110" s="10"/>
      <c r="B110" s="10"/>
      <c r="C110" s="15"/>
      <c r="D110" s="10"/>
      <c r="E110" s="10"/>
      <c r="F110" s="10"/>
      <c r="G110" s="10"/>
      <c r="H110" s="15"/>
      <c r="I110" s="10"/>
      <c r="J110" s="10"/>
    </row>
    <row r="111" spans="1:17" ht="15" customHeight="1" x14ac:dyDescent="0.3">
      <c r="A111" s="10"/>
      <c r="B111" s="10"/>
      <c r="C111" s="15"/>
      <c r="D111" s="10"/>
      <c r="E111" s="10"/>
      <c r="F111" s="10"/>
      <c r="G111" s="10"/>
      <c r="H111" s="15"/>
      <c r="I111" s="10"/>
      <c r="J111" s="10"/>
    </row>
    <row r="112" spans="1:17" ht="15" customHeight="1" x14ac:dyDescent="0.3">
      <c r="A112" s="10"/>
      <c r="B112" s="10"/>
      <c r="C112" s="15"/>
      <c r="D112" s="10"/>
      <c r="E112" s="10"/>
      <c r="F112" s="10"/>
      <c r="G112" s="10"/>
      <c r="H112" s="15"/>
      <c r="I112" s="10"/>
      <c r="J112" s="10"/>
    </row>
    <row r="113" spans="9:10" ht="15" customHeight="1" x14ac:dyDescent="0.3">
      <c r="I113" s="10"/>
      <c r="J113" s="10"/>
    </row>
  </sheetData>
  <mergeCells count="90">
    <mergeCell ref="A22:J22"/>
    <mergeCell ref="A32:J32"/>
    <mergeCell ref="G65:I65"/>
    <mergeCell ref="A62:J62"/>
    <mergeCell ref="E26:H26"/>
    <mergeCell ref="A27:J27"/>
    <mergeCell ref="A40:J40"/>
    <mergeCell ref="B41:D41"/>
    <mergeCell ref="A25:J25"/>
    <mergeCell ref="E28:F28"/>
    <mergeCell ref="E29:F29"/>
    <mergeCell ref="E44:F44"/>
    <mergeCell ref="A43:J43"/>
    <mergeCell ref="I44:J44"/>
    <mergeCell ref="I52:J52"/>
    <mergeCell ref="E34:F34"/>
    <mergeCell ref="E14:F14"/>
    <mergeCell ref="E15:F15"/>
    <mergeCell ref="E19:F19"/>
    <mergeCell ref="E21:F21"/>
    <mergeCell ref="A16:J16"/>
    <mergeCell ref="F17:J17"/>
    <mergeCell ref="A17:E17"/>
    <mergeCell ref="B60:D60"/>
    <mergeCell ref="E64:F64"/>
    <mergeCell ref="A65:F65"/>
    <mergeCell ref="A69:D69"/>
    <mergeCell ref="A59:J59"/>
    <mergeCell ref="G60:H60"/>
    <mergeCell ref="A89:J89"/>
    <mergeCell ref="A88:J88"/>
    <mergeCell ref="A85:J85"/>
    <mergeCell ref="A86:B86"/>
    <mergeCell ref="C86:H86"/>
    <mergeCell ref="A1:J1"/>
    <mergeCell ref="A2:J2"/>
    <mergeCell ref="E5:J5"/>
    <mergeCell ref="A13:J13"/>
    <mergeCell ref="G6:H6"/>
    <mergeCell ref="B6:E6"/>
    <mergeCell ref="C4:J4"/>
    <mergeCell ref="A4:B4"/>
    <mergeCell ref="G8:H8"/>
    <mergeCell ref="A9:J9"/>
    <mergeCell ref="A3:H3"/>
    <mergeCell ref="A10:E10"/>
    <mergeCell ref="F10:J10"/>
    <mergeCell ref="C7:H7"/>
    <mergeCell ref="A7:B7"/>
    <mergeCell ref="B5:C5"/>
    <mergeCell ref="A81:J84"/>
    <mergeCell ref="H69:I69"/>
    <mergeCell ref="H71:I71"/>
    <mergeCell ref="A70:D70"/>
    <mergeCell ref="H70:I70"/>
    <mergeCell ref="A75:C75"/>
    <mergeCell ref="B76:H76"/>
    <mergeCell ref="A77:J77"/>
    <mergeCell ref="A80:J80"/>
    <mergeCell ref="A78:J79"/>
    <mergeCell ref="H73:I73"/>
    <mergeCell ref="A73:D73"/>
    <mergeCell ref="H72:I72"/>
    <mergeCell ref="A71:D71"/>
    <mergeCell ref="A72:D72"/>
    <mergeCell ref="A68:J68"/>
    <mergeCell ref="A66:D66"/>
    <mergeCell ref="E42:F42"/>
    <mergeCell ref="E46:F46"/>
    <mergeCell ref="E50:F50"/>
    <mergeCell ref="E54:F54"/>
    <mergeCell ref="E58:F58"/>
    <mergeCell ref="A48:J48"/>
    <mergeCell ref="A51:J51"/>
    <mergeCell ref="A56:J56"/>
    <mergeCell ref="E52:F52"/>
    <mergeCell ref="E53:F53"/>
    <mergeCell ref="B47:E47"/>
    <mergeCell ref="B55:E55"/>
    <mergeCell ref="B61:E61"/>
    <mergeCell ref="B44:D44"/>
    <mergeCell ref="B36:D36"/>
    <mergeCell ref="E36:F36"/>
    <mergeCell ref="I26:J26"/>
    <mergeCell ref="B33:D33"/>
    <mergeCell ref="B52:D52"/>
    <mergeCell ref="E37:F37"/>
    <mergeCell ref="E38:F38"/>
    <mergeCell ref="E30:F30"/>
    <mergeCell ref="E31:F31"/>
  </mergeCells>
  <conditionalFormatting sqref="A9 K9:P9">
    <cfRule type="containsText" dxfId="0" priority="1" operator="containsText" text="заглавные буквы">
      <formula>NOT(ISERROR(SEARCH(("заглавные буквы"),(A9))))</formula>
    </cfRule>
  </conditionalFormatting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</dc:creator>
  <cp:lastModifiedBy>olga</cp:lastModifiedBy>
  <cp:lastPrinted>2025-08-20T07:22:13Z</cp:lastPrinted>
  <dcterms:created xsi:type="dcterms:W3CDTF">2023-03-01T11:25:28Z</dcterms:created>
  <dcterms:modified xsi:type="dcterms:W3CDTF">2025-10-18T05:04:05Z</dcterms:modified>
</cp:coreProperties>
</file>