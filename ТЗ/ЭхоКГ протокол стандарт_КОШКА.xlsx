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lga\Desktop\ЭХО протокол\"/>
    </mc:Choice>
  </mc:AlternateContent>
  <xr:revisionPtr revIDLastSave="0" documentId="13_ncr:1_{75AEC7D0-C3CC-440F-A31C-87A0558951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1" l="1"/>
  <c r="G35" i="1"/>
  <c r="G24" i="1"/>
  <c r="B42" i="1"/>
  <c r="J48" i="1" s="1"/>
  <c r="E11" i="1"/>
  <c r="G52" i="1" l="1"/>
  <c r="G49" i="1"/>
  <c r="G43" i="1"/>
  <c r="G39" i="1"/>
  <c r="G29" i="1"/>
  <c r="G57" i="1" l="1"/>
  <c r="G28" i="1" l="1"/>
  <c r="I66" i="1" l="1"/>
  <c r="G15" i="1" l="1"/>
</calcChain>
</file>

<file path=xl/sharedStrings.xml><?xml version="1.0" encoding="utf-8"?>
<sst xmlns="http://schemas.openxmlformats.org/spreadsheetml/2006/main" count="170" uniqueCount="103">
  <si>
    <t>УЛЬТРАЗВУКОВОЕ ИССЛЕДОВАНИЕ СЕРДЦА (ЭХОКАРДИОГРАФИЯ)</t>
  </si>
  <si>
    <t>Вид</t>
  </si>
  <si>
    <t>Кличка</t>
  </si>
  <si>
    <t>Порода</t>
  </si>
  <si>
    <t>нет</t>
  </si>
  <si>
    <t>кг</t>
  </si>
  <si>
    <t>Короткая ось</t>
  </si>
  <si>
    <t>ЛП/Ао</t>
  </si>
  <si>
    <t>Ао</t>
  </si>
  <si>
    <t>Длинная ось</t>
  </si>
  <si>
    <t>%</t>
  </si>
  <si>
    <t>ЛП max</t>
  </si>
  <si>
    <t>ЛВ</t>
  </si>
  <si>
    <t>ЛВ/ПВЛА</t>
  </si>
  <si>
    <t>ПВЛА</t>
  </si>
  <si>
    <t>ЛЕВЫЙ ЖЕЛУДОЧЕК</t>
  </si>
  <si>
    <t>МЖПд</t>
  </si>
  <si>
    <t>КДР</t>
  </si>
  <si>
    <t>ЗСЛЖд</t>
  </si>
  <si>
    <t>КСР</t>
  </si>
  <si>
    <t>мм</t>
  </si>
  <si>
    <t>ПРАВЫЙ ЖЕЛУДОЧЕК</t>
  </si>
  <si>
    <t>СПЖд</t>
  </si>
  <si>
    <t>ПЖ/ЛЖ</t>
  </si>
  <si>
    <t>МИТРАЛЬНЫЙ КЛАПАН</t>
  </si>
  <si>
    <t>Створки</t>
  </si>
  <si>
    <t>не изменены</t>
  </si>
  <si>
    <t>SAM</t>
  </si>
  <si>
    <t>Е</t>
  </si>
  <si>
    <t>м/c</t>
  </si>
  <si>
    <t>E/A</t>
  </si>
  <si>
    <t>А</t>
  </si>
  <si>
    <t>IVRT</t>
  </si>
  <si>
    <t>мс</t>
  </si>
  <si>
    <t>м/с</t>
  </si>
  <si>
    <t>Степень</t>
  </si>
  <si>
    <t>Скорость</t>
  </si>
  <si>
    <t>Градиент</t>
  </si>
  <si>
    <t>мм рт ст</t>
  </si>
  <si>
    <t>АОРТА</t>
  </si>
  <si>
    <t>Скорость потока</t>
  </si>
  <si>
    <t>ЛЁГОЧНАЯ АРТЕРИЯ</t>
  </si>
  <si>
    <t>Фиброзное кольцо</t>
  </si>
  <si>
    <t>ТРИКУСПИДАЛЬНЫЙ КЛАПАН</t>
  </si>
  <si>
    <t>ПРОЧЕЕ</t>
  </si>
  <si>
    <t>Ветеринарный врач:</t>
  </si>
  <si>
    <t xml:space="preserve">Ветеринарная клиника </t>
  </si>
  <si>
    <t>Чип</t>
  </si>
  <si>
    <t>СОСУДЫ МКК</t>
  </si>
  <si>
    <t>ПП</t>
  </si>
  <si>
    <t>В-линии:</t>
  </si>
  <si>
    <t>ПЖ</t>
  </si>
  <si>
    <t xml:space="preserve">Свободная жидкость в грудной полости </t>
  </si>
  <si>
    <t>Координация сократительной активности миокарда</t>
  </si>
  <si>
    <t>КОММЕНТАРИИ</t>
  </si>
  <si>
    <t>ЗАКЛЮЧЕНИЕ ПО РЕЗУЛЬТАТАМ ЭХОКАРДИОГРАФИИ</t>
  </si>
  <si>
    <t>без особенностей</t>
  </si>
  <si>
    <t>не выявлена</t>
  </si>
  <si>
    <t>не изменена</t>
  </si>
  <si>
    <t>не обнаружены</t>
  </si>
  <si>
    <t>Ао/ЛА</t>
  </si>
  <si>
    <t>Седация</t>
  </si>
  <si>
    <t>Признаки патологического шунтирования</t>
  </si>
  <si>
    <t>ДМПП</t>
  </si>
  <si>
    <t>ДМЖП</t>
  </si>
  <si>
    <t>ОАП</t>
  </si>
  <si>
    <t>Направление сброса</t>
  </si>
  <si>
    <t>не изменен</t>
  </si>
  <si>
    <t>Описание шунта</t>
  </si>
  <si>
    <t>СПЖ/ЗСЛЖ</t>
  </si>
  <si>
    <t>* не является кардиологическим диагнозом и должно рассматриваться в комплексе с другими исследованиями)</t>
  </si>
  <si>
    <t xml:space="preserve">ЛЕВОЕ ПРЕДСЕРДИЕ </t>
  </si>
  <si>
    <t>не расширено</t>
  </si>
  <si>
    <t>Визуальная оценка</t>
  </si>
  <si>
    <t>пол</t>
  </si>
  <si>
    <t>ПРАВОЕ ПРЕДСЕРДИЕ</t>
  </si>
  <si>
    <t>E'</t>
  </si>
  <si>
    <t>E/E'</t>
  </si>
  <si>
    <t>Регургитация</t>
  </si>
  <si>
    <t>Стеноз</t>
  </si>
  <si>
    <t>ВТЛЖ</t>
  </si>
  <si>
    <t>ВТПЖ</t>
  </si>
  <si>
    <t xml:space="preserve">Степень </t>
  </si>
  <si>
    <t>ФИО владельца</t>
  </si>
  <si>
    <t>Вероятность лёгочной гипертензии</t>
  </si>
  <si>
    <t>низкая</t>
  </si>
  <si>
    <t>кошка</t>
  </si>
  <si>
    <t>Папиллярные мышцы</t>
  </si>
  <si>
    <t>Спонтанное контрастирование</t>
  </si>
  <si>
    <t>*список показателей может быть расширен на усмотрение врача с учётом клинической ситуации</t>
  </si>
  <si>
    <t>Формат протокола рекомендован Кардиологическим Ветеринарным Обществом</t>
  </si>
  <si>
    <t>Зоны гипокинеза/ акинеза</t>
  </si>
  <si>
    <t xml:space="preserve">Регургитация </t>
  </si>
  <si>
    <t>Локальная гипертрофия</t>
  </si>
  <si>
    <t>базальный/средний/апикальный уровни - не выявлено</t>
  </si>
  <si>
    <t>ФУ</t>
  </si>
  <si>
    <t>Ствол</t>
  </si>
  <si>
    <t>Дата: 17.08.25</t>
  </si>
  <si>
    <t>Полость перикарда</t>
  </si>
  <si>
    <t>Масса тела</t>
  </si>
  <si>
    <t>возраст</t>
  </si>
  <si>
    <t>А'</t>
  </si>
  <si>
    <t>см/с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</si>
</sst>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1"/>
      <name val="Calibri"/>
      <scheme val="minor"/>
    </font>
    <font>
      <b/>
      <sz val="14"/>
      <color rgb="FF44546A"/>
      <name val="Calibri"/>
    </font>
    <font>
      <sz val="11"/>
      <name val="Calibri"/>
    </font>
    <font>
      <b/>
      <sz val="14"/>
      <color rgb="FF44546A"/>
      <name val="Calibri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3"/>
      <name val="Calibri"/>
      <family val="2"/>
      <charset val="204"/>
      <scheme val="minor"/>
    </font>
    <font>
      <b/>
      <sz val="12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4" tint="0.39997558519241921"/>
      </top>
      <bottom/>
      <diagonal/>
    </border>
  </borders>
  <cellStyleXfs count="6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9" fillId="0" borderId="5" applyNumberFormat="0" applyFill="0" applyAlignment="0" applyProtection="0"/>
  </cellStyleXfs>
  <cellXfs count="39">
    <xf numFmtId="0" fontId="0" fillId="0" borderId="0" xfId="0"/>
    <xf numFmtId="2" fontId="2" fillId="0" borderId="0" xfId="0" applyNumberFormat="1" applyFont="1" applyAlignment="1">
      <alignment horizontal="left" vertical="top"/>
    </xf>
    <xf numFmtId="2" fontId="0" fillId="0" borderId="0" xfId="0" applyNumberFormat="1"/>
    <xf numFmtId="2" fontId="5" fillId="0" borderId="2" xfId="2" applyNumberFormat="1"/>
    <xf numFmtId="2" fontId="0" fillId="0" borderId="0" xfId="0" applyNumberFormat="1" applyAlignment="1">
      <alignment horizontal="left"/>
    </xf>
    <xf numFmtId="2" fontId="6" fillId="0" borderId="0" xfId="0" applyNumberFormat="1" applyFont="1"/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2" fontId="4" fillId="0" borderId="1" xfId="1" applyNumberFormat="1" applyAlignmen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7" fillId="0" borderId="3" xfId="3" applyNumberFormat="1"/>
    <xf numFmtId="2" fontId="7" fillId="0" borderId="3" xfId="3" applyNumberFormat="1" applyAlignment="1">
      <alignment horizontal="center"/>
    </xf>
    <xf numFmtId="2" fontId="8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11" fillId="0" borderId="1" xfId="1" applyNumberFormat="1" applyFont="1" applyAlignment="1">
      <alignment horizontal="left"/>
    </xf>
    <xf numFmtId="0" fontId="0" fillId="0" borderId="0" xfId="0"/>
    <xf numFmtId="2" fontId="0" fillId="0" borderId="4" xfId="0" applyNumberFormat="1" applyBorder="1" applyAlignment="1">
      <alignment horizontal="left"/>
    </xf>
    <xf numFmtId="2" fontId="0" fillId="0" borderId="0" xfId="0" applyNumberFormat="1" applyAlignment="1">
      <alignment horizontal="left"/>
    </xf>
    <xf numFmtId="2" fontId="7" fillId="0" borderId="3" xfId="3" applyNumberFormat="1" applyAlignment="1">
      <alignment horizontal="left"/>
    </xf>
    <xf numFmtId="2" fontId="3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horizontal="center" vertical="top" wrapText="1"/>
    </xf>
    <xf numFmtId="2" fontId="5" fillId="0" borderId="2" xfId="2" applyNumberFormat="1" applyAlignment="1">
      <alignment horizontal="center"/>
    </xf>
    <xf numFmtId="2" fontId="7" fillId="0" borderId="2" xfId="2" applyNumberFormat="1" applyFont="1" applyAlignment="1">
      <alignment horizontal="left"/>
    </xf>
    <xf numFmtId="2" fontId="7" fillId="0" borderId="3" xfId="3" applyNumberFormat="1"/>
    <xf numFmtId="2" fontId="5" fillId="0" borderId="2" xfId="2" applyNumberFormat="1" applyAlignment="1">
      <alignment horizontal="left"/>
    </xf>
    <xf numFmtId="2" fontId="0" fillId="0" borderId="0" xfId="0" applyNumberFormat="1"/>
    <xf numFmtId="2" fontId="5" fillId="0" borderId="2" xfId="2" applyNumberFormat="1" applyAlignment="1">
      <alignment horizontal="center" vertical="top"/>
    </xf>
    <xf numFmtId="2" fontId="7" fillId="0" borderId="0" xfId="4" applyNumberFormat="1"/>
    <xf numFmtId="2" fontId="0" fillId="0" borderId="0" xfId="0" applyNumberFormat="1" applyAlignment="1">
      <alignment horizontal="right"/>
    </xf>
    <xf numFmtId="2" fontId="11" fillId="0" borderId="1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9" fillId="0" borderId="5" xfId="5" applyNumberFormat="1" applyAlignment="1">
      <alignment horizontal="center"/>
    </xf>
    <xf numFmtId="2" fontId="10" fillId="0" borderId="1" xfId="1" applyNumberFormat="1" applyFont="1" applyAlignment="1">
      <alignment horizontal="center"/>
    </xf>
    <xf numFmtId="2" fontId="0" fillId="0" borderId="4" xfId="0" applyNumberFormat="1" applyBorder="1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8" fillId="0" borderId="6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164" fontId="5" fillId="0" borderId="2" xfId="2" applyNumberFormat="1" applyAlignment="1">
      <alignment horizontal="left"/>
    </xf>
  </cellXfs>
  <cellStyles count="6">
    <cellStyle name="Заголовок 1" xfId="1" builtinId="16"/>
    <cellStyle name="Заголовок 2" xfId="2" builtinId="17"/>
    <cellStyle name="Заголовок 3" xfId="3" builtinId="18"/>
    <cellStyle name="Заголовок 4" xfId="4" builtinId="19"/>
    <cellStyle name="Итог" xfId="5" builtinId="25"/>
    <cellStyle name="Обычный" xfId="0" builtinId="0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topLeftCell="A28" zoomScale="110" zoomScaleNormal="110" workbookViewId="0">
      <selection activeCell="Q40" sqref="Q40"/>
    </sheetView>
  </sheetViews>
  <sheetFormatPr defaultColWidth="14.44140625" defaultRowHeight="15" customHeight="1" x14ac:dyDescent="0.3"/>
  <cols>
    <col min="1" max="1" width="17" style="2" customWidth="1"/>
    <col min="2" max="2" width="7.21875" style="2" customWidth="1"/>
    <col min="3" max="3" width="5.5546875" style="2" customWidth="1"/>
    <col min="4" max="4" width="9" style="2" customWidth="1"/>
    <col min="5" max="5" width="5.77734375" style="2" customWidth="1"/>
    <col min="6" max="6" width="11.33203125" style="2" customWidth="1"/>
    <col min="7" max="7" width="7.88671875" style="2" customWidth="1"/>
    <col min="8" max="8" width="5.6640625" style="2" customWidth="1"/>
    <col min="9" max="9" width="9.5546875" style="2" customWidth="1"/>
    <col min="10" max="10" width="7.88671875" style="2" customWidth="1"/>
    <col min="11" max="17" width="9.109375" style="2" customWidth="1"/>
    <col min="18" max="16384" width="14.44140625" style="2"/>
  </cols>
  <sheetData>
    <row r="1" spans="1:10" ht="19.5" customHeight="1" x14ac:dyDescent="0.3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.75" customHeight="1" x14ac:dyDescent="0.3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14.25" customHeight="1" thickBot="1" x14ac:dyDescent="0.4">
      <c r="A3" s="27"/>
      <c r="B3" s="27"/>
      <c r="C3" s="27"/>
      <c r="D3" s="27"/>
      <c r="E3" s="27"/>
      <c r="F3" s="27"/>
      <c r="G3" s="27"/>
      <c r="H3" s="27"/>
      <c r="I3" s="3"/>
      <c r="J3" s="3"/>
    </row>
    <row r="4" spans="1:10" ht="18" customHeight="1" thickTop="1" thickBot="1" x14ac:dyDescent="0.4">
      <c r="A4" s="25" t="s">
        <v>83</v>
      </c>
      <c r="B4" s="25"/>
      <c r="C4" s="22"/>
      <c r="D4" s="22"/>
      <c r="E4" s="22"/>
      <c r="F4" s="22"/>
      <c r="G4" s="22"/>
      <c r="H4" s="22"/>
      <c r="I4" s="22"/>
      <c r="J4" s="22"/>
    </row>
    <row r="5" spans="1:10" ht="18.75" customHeight="1" thickTop="1" thickBot="1" x14ac:dyDescent="0.4">
      <c r="A5" s="3" t="s">
        <v>1</v>
      </c>
      <c r="B5" s="24" t="s">
        <v>86</v>
      </c>
      <c r="C5" s="24"/>
      <c r="D5" s="3" t="s">
        <v>2</v>
      </c>
      <c r="E5" s="22"/>
      <c r="F5" s="22"/>
      <c r="G5" s="22"/>
      <c r="H5" s="22"/>
      <c r="I5" s="22"/>
      <c r="J5" s="22"/>
    </row>
    <row r="6" spans="1:10" ht="18.75" customHeight="1" thickTop="1" thickBot="1" x14ac:dyDescent="0.4">
      <c r="A6" s="3" t="s">
        <v>3</v>
      </c>
      <c r="B6" s="24"/>
      <c r="C6" s="24"/>
      <c r="D6" s="24"/>
      <c r="E6" s="24"/>
      <c r="F6" s="3" t="s">
        <v>74</v>
      </c>
      <c r="G6" s="24"/>
      <c r="H6" s="24"/>
      <c r="I6" s="3" t="s">
        <v>100</v>
      </c>
      <c r="J6" s="11"/>
    </row>
    <row r="7" spans="1:10" ht="18.75" customHeight="1" thickTop="1" x14ac:dyDescent="0.3">
      <c r="A7" s="28" t="s">
        <v>47</v>
      </c>
      <c r="B7" s="28"/>
      <c r="C7" s="26"/>
      <c r="D7" s="26"/>
      <c r="E7" s="26"/>
      <c r="F7" s="26"/>
      <c r="G7" s="26"/>
      <c r="H7" s="26"/>
    </row>
    <row r="8" spans="1:10" s="4" customFormat="1" ht="14.25" customHeight="1" x14ac:dyDescent="0.3">
      <c r="A8" s="6" t="s">
        <v>99</v>
      </c>
      <c r="C8" s="4" t="s">
        <v>5</v>
      </c>
      <c r="F8" s="2"/>
      <c r="G8" s="26" t="s">
        <v>61</v>
      </c>
      <c r="H8" s="26"/>
      <c r="I8" s="2" t="s">
        <v>4</v>
      </c>
      <c r="J8" s="2"/>
    </row>
    <row r="9" spans="1:10" s="4" customFormat="1" ht="19.5" customHeight="1" thickBot="1" x14ac:dyDescent="0.35">
      <c r="A9" s="15" t="s">
        <v>71</v>
      </c>
      <c r="B9" s="15"/>
      <c r="C9" s="15"/>
      <c r="D9" s="15"/>
      <c r="E9" s="15"/>
      <c r="F9" s="15"/>
      <c r="G9" s="15"/>
      <c r="H9" s="15"/>
      <c r="I9" s="15"/>
      <c r="J9" s="15"/>
    </row>
    <row r="10" spans="1:10" s="4" customFormat="1" ht="14.25" customHeight="1" thickTop="1" thickBot="1" x14ac:dyDescent="0.35">
      <c r="A10" s="19" t="s">
        <v>6</v>
      </c>
      <c r="B10" s="19"/>
      <c r="C10" s="19"/>
      <c r="D10" s="19"/>
      <c r="E10" s="19"/>
      <c r="F10" s="19" t="s">
        <v>9</v>
      </c>
      <c r="G10" s="19"/>
      <c r="H10" s="19"/>
      <c r="I10" s="19"/>
      <c r="J10" s="19"/>
    </row>
    <row r="11" spans="1:10" s="4" customFormat="1" ht="14.25" customHeight="1" x14ac:dyDescent="0.3">
      <c r="A11" s="4" t="s">
        <v>11</v>
      </c>
      <c r="C11" s="4" t="s">
        <v>20</v>
      </c>
      <c r="D11" s="4" t="s">
        <v>7</v>
      </c>
      <c r="E11" s="4" t="e">
        <f>B11/B12</f>
        <v>#DIV/0!</v>
      </c>
      <c r="F11" s="4" t="s">
        <v>11</v>
      </c>
      <c r="H11" s="4" t="s">
        <v>20</v>
      </c>
    </row>
    <row r="12" spans="1:10" s="4" customFormat="1" ht="14.25" customHeight="1" x14ac:dyDescent="0.3">
      <c r="A12" s="4" t="s">
        <v>8</v>
      </c>
      <c r="C12" s="4" t="s">
        <v>20</v>
      </c>
    </row>
    <row r="13" spans="1:10" s="4" customFormat="1" ht="14.25" customHeight="1" x14ac:dyDescent="0.3">
      <c r="A13" s="4" t="s">
        <v>88</v>
      </c>
      <c r="D13" s="4" t="s">
        <v>4</v>
      </c>
    </row>
    <row r="14" spans="1:10" s="4" customFormat="1" ht="14.25" customHeight="1" thickBot="1" x14ac:dyDescent="0.35">
      <c r="A14" s="23" t="s">
        <v>48</v>
      </c>
      <c r="B14" s="23"/>
      <c r="C14" s="23"/>
      <c r="D14" s="23"/>
      <c r="E14" s="23"/>
      <c r="F14" s="23"/>
      <c r="G14" s="23"/>
      <c r="H14" s="23"/>
      <c r="I14" s="23"/>
      <c r="J14" s="23"/>
    </row>
    <row r="15" spans="1:10" s="4" customFormat="1" ht="14.25" customHeight="1" thickTop="1" x14ac:dyDescent="0.3">
      <c r="A15" s="4" t="s">
        <v>12</v>
      </c>
      <c r="C15" s="4" t="s">
        <v>20</v>
      </c>
      <c r="F15" s="4" t="s">
        <v>13</v>
      </c>
      <c r="G15" s="4" t="e">
        <f>B15/B16</f>
        <v>#DIV/0!</v>
      </c>
    </row>
    <row r="16" spans="1:10" s="4" customFormat="1" ht="14.25" customHeight="1" x14ac:dyDescent="0.3">
      <c r="A16" s="4" t="s">
        <v>14</v>
      </c>
      <c r="C16" s="4" t="s">
        <v>20</v>
      </c>
      <c r="F16" s="4" t="s">
        <v>50</v>
      </c>
      <c r="G16" s="2" t="s">
        <v>4</v>
      </c>
      <c r="H16" s="2"/>
    </row>
    <row r="17" spans="1:10" s="4" customFormat="1" ht="19.5" customHeight="1" thickBot="1" x14ac:dyDescent="0.35">
      <c r="A17" s="15" t="s">
        <v>15</v>
      </c>
      <c r="B17" s="15"/>
      <c r="C17" s="15"/>
      <c r="D17" s="15"/>
      <c r="E17" s="15"/>
      <c r="F17" s="15"/>
      <c r="G17" s="15"/>
      <c r="H17" s="15"/>
      <c r="I17" s="15"/>
      <c r="J17" s="15"/>
    </row>
    <row r="18" spans="1:10" s="4" customFormat="1" ht="14.25" customHeight="1" thickTop="1" thickBot="1" x14ac:dyDescent="0.35">
      <c r="A18" s="19" t="s">
        <v>9</v>
      </c>
      <c r="B18" s="19"/>
      <c r="C18" s="19"/>
      <c r="D18" s="19"/>
      <c r="E18" s="19"/>
      <c r="F18" s="19" t="s">
        <v>6</v>
      </c>
      <c r="G18" s="19"/>
      <c r="H18" s="19"/>
      <c r="I18" s="19"/>
      <c r="J18" s="19"/>
    </row>
    <row r="19" spans="1:10" s="4" customFormat="1" ht="14.25" customHeight="1" x14ac:dyDescent="0.3">
      <c r="A19" s="4" t="s">
        <v>16</v>
      </c>
      <c r="C19" s="4" t="s">
        <v>20</v>
      </c>
      <c r="F19" s="4" t="s">
        <v>16</v>
      </c>
      <c r="H19" s="4" t="s">
        <v>20</v>
      </c>
    </row>
    <row r="20" spans="1:10" s="4" customFormat="1" ht="14.25" customHeight="1" x14ac:dyDescent="0.3">
      <c r="A20" s="4" t="s">
        <v>18</v>
      </c>
      <c r="C20" s="4" t="s">
        <v>20</v>
      </c>
      <c r="F20" s="4" t="s">
        <v>18</v>
      </c>
      <c r="H20" s="4" t="s">
        <v>20</v>
      </c>
    </row>
    <row r="21" spans="1:10" s="4" customFormat="1" ht="13.2" customHeight="1" x14ac:dyDescent="0.3">
      <c r="A21" s="31" t="s">
        <v>93</v>
      </c>
      <c r="B21" s="31"/>
      <c r="C21" s="31"/>
      <c r="D21" s="31" t="s">
        <v>94</v>
      </c>
      <c r="E21" s="31"/>
      <c r="F21" s="31"/>
      <c r="G21" s="31"/>
      <c r="H21" s="31"/>
      <c r="I21" s="31"/>
      <c r="J21" s="31"/>
    </row>
    <row r="22" spans="1:10" s="4" customFormat="1" ht="13.2" customHeight="1" x14ac:dyDescent="0.3">
      <c r="A22" s="31" t="s">
        <v>87</v>
      </c>
      <c r="B22" s="31"/>
      <c r="C22" s="31"/>
      <c r="D22" s="29" t="s">
        <v>56</v>
      </c>
      <c r="E22" s="29"/>
      <c r="F22" s="29"/>
      <c r="G22" s="9"/>
      <c r="H22" s="9"/>
      <c r="I22" s="9"/>
      <c r="J22" s="9"/>
    </row>
    <row r="23" spans="1:10" s="4" customFormat="1" ht="13.2" customHeight="1" x14ac:dyDescent="0.3">
      <c r="A23" s="4" t="s">
        <v>17</v>
      </c>
      <c r="B23" s="9"/>
      <c r="C23" s="9" t="s">
        <v>20</v>
      </c>
      <c r="D23" s="10"/>
      <c r="E23" s="10"/>
      <c r="F23" s="10"/>
      <c r="G23" s="9"/>
      <c r="H23" s="9"/>
      <c r="I23" s="9"/>
      <c r="J23" s="9"/>
    </row>
    <row r="24" spans="1:10" s="4" customFormat="1" ht="13.2" customHeight="1" x14ac:dyDescent="0.3">
      <c r="A24" s="4" t="s">
        <v>19</v>
      </c>
      <c r="B24" s="9"/>
      <c r="C24" s="9" t="s">
        <v>20</v>
      </c>
      <c r="D24" s="10"/>
      <c r="E24" s="10"/>
      <c r="F24" s="4" t="s">
        <v>95</v>
      </c>
      <c r="G24" s="4" t="e">
        <f>((B23-B24)/B24)*100</f>
        <v>#DIV/0!</v>
      </c>
      <c r="H24" s="9" t="s">
        <v>10</v>
      </c>
      <c r="I24" s="9"/>
      <c r="J24" s="9"/>
    </row>
    <row r="25" spans="1:10" s="4" customFormat="1" ht="19.5" customHeight="1" thickBot="1" x14ac:dyDescent="0.35">
      <c r="A25" s="15" t="s">
        <v>75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s="4" customFormat="1" ht="14.25" customHeight="1" thickTop="1" x14ac:dyDescent="0.3">
      <c r="A26" s="4" t="s">
        <v>49</v>
      </c>
      <c r="C26" s="4" t="s">
        <v>20</v>
      </c>
      <c r="E26" s="18" t="s">
        <v>73</v>
      </c>
      <c r="F26" s="18"/>
      <c r="G26" s="18"/>
      <c r="H26" s="18"/>
      <c r="I26" s="4" t="s">
        <v>72</v>
      </c>
    </row>
    <row r="27" spans="1:10" s="4" customFormat="1" ht="19.5" customHeight="1" thickBot="1" x14ac:dyDescent="0.35">
      <c r="A27" s="15" t="s">
        <v>21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s="4" customFormat="1" ht="14.25" customHeight="1" thickTop="1" x14ac:dyDescent="0.3">
      <c r="A28" s="4" t="s">
        <v>51</v>
      </c>
      <c r="C28" s="4" t="s">
        <v>20</v>
      </c>
      <c r="F28" s="4" t="s">
        <v>23</v>
      </c>
      <c r="G28" s="4" t="e">
        <f>B28/#REF!*100</f>
        <v>#REF!</v>
      </c>
      <c r="H28" s="4" t="s">
        <v>10</v>
      </c>
    </row>
    <row r="29" spans="1:10" s="4" customFormat="1" ht="14.25" customHeight="1" x14ac:dyDescent="0.3">
      <c r="A29" s="4" t="s">
        <v>22</v>
      </c>
      <c r="C29" s="4" t="s">
        <v>20</v>
      </c>
      <c r="F29" s="4" t="s">
        <v>69</v>
      </c>
      <c r="G29" s="4" t="e">
        <f>B29/B20*100</f>
        <v>#DIV/0!</v>
      </c>
      <c r="H29" s="4" t="s">
        <v>10</v>
      </c>
    </row>
    <row r="30" spans="1:10" s="4" customFormat="1" ht="19.5" customHeight="1" thickBot="1" x14ac:dyDescent="0.35">
      <c r="A30" s="15" t="s">
        <v>24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s="4" customFormat="1" ht="14.25" customHeight="1" thickTop="1" x14ac:dyDescent="0.3">
      <c r="A31" s="4" t="s">
        <v>25</v>
      </c>
      <c r="B31" s="5" t="s">
        <v>26</v>
      </c>
      <c r="C31" s="2"/>
      <c r="D31" s="2"/>
      <c r="F31" s="4" t="s">
        <v>27</v>
      </c>
      <c r="G31" s="6" t="s">
        <v>4</v>
      </c>
    </row>
    <row r="32" spans="1:10" s="4" customFormat="1" ht="14.25" customHeight="1" x14ac:dyDescent="0.3">
      <c r="A32" s="4" t="s">
        <v>28</v>
      </c>
      <c r="C32" s="4" t="s">
        <v>29</v>
      </c>
    </row>
    <row r="33" spans="1:10" s="4" customFormat="1" ht="14.25" customHeight="1" x14ac:dyDescent="0.3">
      <c r="A33" s="4" t="s">
        <v>31</v>
      </c>
      <c r="C33" s="4" t="s">
        <v>29</v>
      </c>
      <c r="F33" s="4" t="s">
        <v>30</v>
      </c>
      <c r="G33" s="4" t="e">
        <f>B32/B33</f>
        <v>#DIV/0!</v>
      </c>
    </row>
    <row r="34" spans="1:10" s="4" customFormat="1" ht="14.25" customHeight="1" x14ac:dyDescent="0.3">
      <c r="A34" s="4" t="s">
        <v>32</v>
      </c>
      <c r="C34" s="4" t="s">
        <v>33</v>
      </c>
    </row>
    <row r="35" spans="1:10" s="4" customFormat="1" ht="14.25" customHeight="1" x14ac:dyDescent="0.3">
      <c r="A35" s="4" t="s">
        <v>76</v>
      </c>
      <c r="C35" s="6" t="s">
        <v>102</v>
      </c>
      <c r="F35" s="4" t="s">
        <v>77</v>
      </c>
      <c r="G35" s="4" t="e">
        <f>B32*100/B35</f>
        <v>#DIV/0!</v>
      </c>
    </row>
    <row r="36" spans="1:10" s="4" customFormat="1" ht="14.25" customHeight="1" x14ac:dyDescent="0.3">
      <c r="A36" s="6" t="s">
        <v>101</v>
      </c>
      <c r="C36" s="6" t="s">
        <v>102</v>
      </c>
    </row>
    <row r="37" spans="1:10" s="4" customFormat="1" ht="14.25" customHeight="1" thickBot="1" x14ac:dyDescent="0.35">
      <c r="A37" s="19" t="s">
        <v>92</v>
      </c>
      <c r="B37" s="19"/>
      <c r="C37" s="19"/>
      <c r="D37" s="19"/>
      <c r="E37" s="19"/>
      <c r="F37" s="19"/>
      <c r="G37" s="19"/>
      <c r="H37" s="19"/>
      <c r="I37" s="19"/>
      <c r="J37" s="19"/>
    </row>
    <row r="38" spans="1:10" s="4" customFormat="1" ht="14.25" customHeight="1" x14ac:dyDescent="0.3">
      <c r="A38" s="4" t="s">
        <v>35</v>
      </c>
      <c r="B38" s="18">
        <v>0</v>
      </c>
      <c r="C38" s="18"/>
      <c r="D38" s="18"/>
    </row>
    <row r="39" spans="1:10" s="4" customFormat="1" ht="14.25" customHeight="1" x14ac:dyDescent="0.3">
      <c r="A39" s="4" t="s">
        <v>36</v>
      </c>
      <c r="C39" s="4" t="s">
        <v>34</v>
      </c>
      <c r="E39" s="31" t="s">
        <v>37</v>
      </c>
      <c r="F39" s="31"/>
      <c r="G39" s="4">
        <f>4*(B39^2)</f>
        <v>0</v>
      </c>
      <c r="H39" s="4" t="s">
        <v>38</v>
      </c>
    </row>
    <row r="40" spans="1:10" ht="16.2" thickBot="1" x14ac:dyDescent="0.35">
      <c r="A40" s="15" t="s">
        <v>39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s="4" customFormat="1" thickTop="1" x14ac:dyDescent="0.3">
      <c r="A41" s="4" t="s">
        <v>25</v>
      </c>
      <c r="B41" t="s">
        <v>26</v>
      </c>
      <c r="C41"/>
      <c r="D41" s="16" t="s">
        <v>79</v>
      </c>
      <c r="E41" s="16"/>
      <c r="F41" s="16" t="s">
        <v>4</v>
      </c>
      <c r="G41" s="16"/>
      <c r="H41" s="4" t="s">
        <v>80</v>
      </c>
      <c r="I41" s="16" t="s">
        <v>56</v>
      </c>
      <c r="J41" s="16"/>
    </row>
    <row r="42" spans="1:10" s="4" customFormat="1" ht="14.4" x14ac:dyDescent="0.3">
      <c r="A42" s="4" t="s">
        <v>42</v>
      </c>
      <c r="B42" s="4">
        <f>B12</f>
        <v>0</v>
      </c>
      <c r="C42" s="4" t="s">
        <v>20</v>
      </c>
      <c r="E42" s="37"/>
      <c r="F42" s="37"/>
    </row>
    <row r="43" spans="1:10" s="4" customFormat="1" ht="14.4" x14ac:dyDescent="0.3">
      <c r="A43" s="4" t="s">
        <v>40</v>
      </c>
      <c r="C43" s="4" t="s">
        <v>34</v>
      </c>
      <c r="E43" s="31" t="s">
        <v>37</v>
      </c>
      <c r="F43" s="31"/>
      <c r="G43" s="4">
        <f>4*(B43^2)</f>
        <v>0</v>
      </c>
      <c r="H43" s="4" t="s">
        <v>38</v>
      </c>
    </row>
    <row r="44" spans="1:10" s="4" customFormat="1" thickBot="1" x14ac:dyDescent="0.35">
      <c r="A44" s="19" t="s">
        <v>78</v>
      </c>
      <c r="B44" s="19"/>
      <c r="C44" s="19"/>
      <c r="D44" s="19"/>
      <c r="E44" s="19"/>
      <c r="F44" s="19"/>
      <c r="G44" s="19"/>
      <c r="H44" s="19"/>
      <c r="I44" s="19"/>
      <c r="J44" s="19"/>
    </row>
    <row r="45" spans="1:10" s="4" customFormat="1" ht="14.4" x14ac:dyDescent="0.3">
      <c r="A45" s="4" t="s">
        <v>35</v>
      </c>
      <c r="B45" s="4">
        <v>0</v>
      </c>
    </row>
    <row r="46" spans="1:10" s="4" customFormat="1" ht="19.5" customHeight="1" thickBot="1" x14ac:dyDescent="0.35">
      <c r="A46" s="15" t="s">
        <v>41</v>
      </c>
      <c r="B46" s="15"/>
      <c r="C46" s="15"/>
      <c r="D46" s="15"/>
      <c r="E46" s="15"/>
      <c r="F46" s="15"/>
      <c r="G46" s="15"/>
      <c r="H46" s="15"/>
      <c r="I46" s="15"/>
      <c r="J46" s="15"/>
    </row>
    <row r="47" spans="1:10" s="4" customFormat="1" thickTop="1" x14ac:dyDescent="0.3">
      <c r="A47" t="s">
        <v>25</v>
      </c>
      <c r="B47" t="s">
        <v>26</v>
      </c>
      <c r="C47"/>
      <c r="D47" s="16" t="s">
        <v>79</v>
      </c>
      <c r="E47" s="16"/>
      <c r="F47" s="16" t="s">
        <v>4</v>
      </c>
      <c r="G47" s="16"/>
      <c r="H47" t="s">
        <v>81</v>
      </c>
      <c r="I47" s="16" t="s">
        <v>56</v>
      </c>
      <c r="J47" s="16"/>
    </row>
    <row r="48" spans="1:10" s="4" customFormat="1" ht="14.25" customHeight="1" x14ac:dyDescent="0.3">
      <c r="A48" s="4" t="s">
        <v>42</v>
      </c>
      <c r="C48" s="4" t="s">
        <v>20</v>
      </c>
      <c r="F48" s="4" t="s">
        <v>96</v>
      </c>
      <c r="H48" s="2" t="s">
        <v>20</v>
      </c>
      <c r="I48" s="2" t="s">
        <v>60</v>
      </c>
      <c r="J48" s="4" t="e">
        <f>B42/B48</f>
        <v>#DIV/0!</v>
      </c>
    </row>
    <row r="49" spans="1:10" s="4" customFormat="1" ht="14.4" x14ac:dyDescent="0.3">
      <c r="A49" s="4" t="s">
        <v>40</v>
      </c>
      <c r="C49" s="4" t="s">
        <v>34</v>
      </c>
      <c r="E49" s="31" t="s">
        <v>37</v>
      </c>
      <c r="F49" s="31"/>
      <c r="G49" s="4">
        <f>4*(B49^2)</f>
        <v>0</v>
      </c>
      <c r="H49" s="4" t="s">
        <v>38</v>
      </c>
    </row>
    <row r="50" spans="1:10" s="4" customFormat="1" thickBot="1" x14ac:dyDescent="0.35">
      <c r="A50" s="19" t="s">
        <v>78</v>
      </c>
      <c r="B50" s="19"/>
      <c r="C50" s="19"/>
      <c r="D50" s="19"/>
      <c r="E50" s="19"/>
      <c r="F50" s="19"/>
      <c r="G50" s="19"/>
      <c r="H50" s="19"/>
      <c r="I50" s="19"/>
      <c r="J50" s="19"/>
    </row>
    <row r="51" spans="1:10" s="4" customFormat="1" ht="14.4" x14ac:dyDescent="0.3">
      <c r="A51" s="4" t="s">
        <v>35</v>
      </c>
      <c r="B51" s="4">
        <v>0</v>
      </c>
    </row>
    <row r="52" spans="1:10" s="4" customFormat="1" thickBot="1" x14ac:dyDescent="0.35">
      <c r="A52" s="4" t="s">
        <v>36</v>
      </c>
      <c r="C52" s="4" t="s">
        <v>34</v>
      </c>
      <c r="E52" s="31" t="s">
        <v>37</v>
      </c>
      <c r="F52" s="31"/>
      <c r="G52" s="4">
        <f>4*(B52^2)</f>
        <v>0</v>
      </c>
      <c r="H52" s="4" t="s">
        <v>38</v>
      </c>
    </row>
    <row r="53" spans="1:10" s="4" customFormat="1" ht="19.5" customHeight="1" thickBot="1" x14ac:dyDescent="0.35">
      <c r="A53" s="15" t="s">
        <v>43</v>
      </c>
      <c r="B53" s="15"/>
      <c r="C53" s="15"/>
      <c r="D53" s="15"/>
      <c r="E53" s="15"/>
      <c r="F53" s="15"/>
      <c r="G53" s="15"/>
      <c r="H53" s="15"/>
      <c r="I53" s="15"/>
      <c r="J53" s="15"/>
    </row>
    <row r="54" spans="1:10" customFormat="1" ht="14.25" customHeight="1" thickTop="1" x14ac:dyDescent="0.3">
      <c r="A54" t="s">
        <v>25</v>
      </c>
      <c r="B54" s="16" t="s">
        <v>26</v>
      </c>
      <c r="C54" s="16"/>
      <c r="G54" s="16"/>
      <c r="H54" s="16"/>
    </row>
    <row r="55" spans="1:10" s="4" customFormat="1" ht="14.25" customHeight="1" thickBot="1" x14ac:dyDescent="0.35">
      <c r="A55" s="19" t="s">
        <v>92</v>
      </c>
      <c r="B55" s="19"/>
      <c r="C55" s="19"/>
      <c r="D55" s="19"/>
      <c r="E55" s="19"/>
      <c r="F55" s="19"/>
      <c r="G55" s="19"/>
      <c r="H55" s="19"/>
      <c r="I55" s="19"/>
      <c r="J55" s="19"/>
    </row>
    <row r="56" spans="1:10" s="4" customFormat="1" ht="14.25" customHeight="1" x14ac:dyDescent="0.3">
      <c r="A56" s="4" t="s">
        <v>82</v>
      </c>
      <c r="B56" s="4">
        <v>0</v>
      </c>
    </row>
    <row r="57" spans="1:10" s="4" customFormat="1" ht="14.25" customHeight="1" x14ac:dyDescent="0.3">
      <c r="A57" s="4" t="s">
        <v>36</v>
      </c>
      <c r="C57" s="4" t="s">
        <v>34</v>
      </c>
      <c r="E57" s="31" t="s">
        <v>37</v>
      </c>
      <c r="F57" s="31"/>
      <c r="G57" s="4">
        <f>4*(B57^2)</f>
        <v>0</v>
      </c>
      <c r="H57" s="4" t="s">
        <v>38</v>
      </c>
    </row>
    <row r="58" spans="1:10" s="4" customFormat="1" ht="22.2" customHeight="1" thickBot="1" x14ac:dyDescent="0.45">
      <c r="A58" s="15" t="s">
        <v>84</v>
      </c>
      <c r="B58" s="15"/>
      <c r="C58" s="15"/>
      <c r="D58" s="15"/>
      <c r="E58" s="15"/>
      <c r="F58" s="15"/>
      <c r="G58" s="32" t="s">
        <v>85</v>
      </c>
      <c r="H58" s="32"/>
      <c r="I58" s="32"/>
      <c r="J58" s="8"/>
    </row>
    <row r="59" spans="1:10" s="4" customFormat="1" ht="18" customHeight="1" thickTop="1" thickBot="1" x14ac:dyDescent="0.35">
      <c r="A59" s="30" t="s">
        <v>44</v>
      </c>
      <c r="B59" s="30"/>
      <c r="C59" s="30"/>
      <c r="D59" s="30"/>
      <c r="E59" s="30"/>
      <c r="F59" s="30"/>
      <c r="G59" s="30"/>
      <c r="H59" s="30"/>
      <c r="I59" s="30"/>
      <c r="J59" s="30"/>
    </row>
    <row r="60" spans="1:10" s="4" customFormat="1" ht="14.25" customHeight="1" thickTop="1" x14ac:dyDescent="0.3">
      <c r="A60" s="18" t="s">
        <v>98</v>
      </c>
      <c r="B60" s="18"/>
      <c r="C60" s="18"/>
      <c r="D60" s="18"/>
      <c r="G60" s="2"/>
      <c r="H60" s="17" t="s">
        <v>67</v>
      </c>
      <c r="I60" s="17"/>
    </row>
    <row r="61" spans="1:10" s="4" customFormat="1" ht="14.25" customHeight="1" x14ac:dyDescent="0.3">
      <c r="A61" s="18" t="s">
        <v>52</v>
      </c>
      <c r="B61" s="18"/>
      <c r="C61" s="18"/>
      <c r="D61" s="18"/>
      <c r="G61" s="2"/>
      <c r="H61" s="18" t="s">
        <v>57</v>
      </c>
      <c r="I61" s="18"/>
    </row>
    <row r="62" spans="1:10" s="4" customFormat="1" ht="14.25" customHeight="1" x14ac:dyDescent="0.3">
      <c r="A62" s="18" t="s">
        <v>91</v>
      </c>
      <c r="B62" s="18"/>
      <c r="C62" s="18"/>
      <c r="D62" s="18"/>
      <c r="G62" s="2"/>
      <c r="H62" s="18" t="s">
        <v>59</v>
      </c>
      <c r="I62" s="18"/>
    </row>
    <row r="63" spans="1:10" s="4" customFormat="1" ht="14.25" customHeight="1" x14ac:dyDescent="0.3">
      <c r="A63" s="18" t="s">
        <v>53</v>
      </c>
      <c r="B63" s="18"/>
      <c r="C63" s="18"/>
      <c r="D63" s="18"/>
      <c r="E63" s="18"/>
      <c r="F63" s="18"/>
      <c r="G63" s="2"/>
      <c r="H63" s="18" t="s">
        <v>58</v>
      </c>
      <c r="I63" s="18"/>
    </row>
    <row r="64" spans="1:10" s="4" customFormat="1" ht="14.25" customHeight="1" thickBot="1" x14ac:dyDescent="0.35">
      <c r="A64" s="19" t="s">
        <v>62</v>
      </c>
      <c r="B64" s="19"/>
      <c r="C64" s="19"/>
      <c r="D64" s="19"/>
      <c r="G64" s="2"/>
      <c r="H64" s="18" t="s">
        <v>59</v>
      </c>
      <c r="I64" s="18"/>
    </row>
    <row r="65" spans="1:10" s="4" customFormat="1" ht="14.25" customHeight="1" x14ac:dyDescent="0.3">
      <c r="A65" s="7" t="s">
        <v>63</v>
      </c>
      <c r="B65" s="4" t="s">
        <v>4</v>
      </c>
      <c r="D65" s="7" t="s">
        <v>64</v>
      </c>
      <c r="E65" s="4" t="s">
        <v>4</v>
      </c>
      <c r="G65" s="7" t="s">
        <v>65</v>
      </c>
      <c r="H65" s="4" t="s">
        <v>4</v>
      </c>
    </row>
    <row r="66" spans="1:10" s="4" customFormat="1" ht="14.25" customHeight="1" x14ac:dyDescent="0.3">
      <c r="A66" s="18" t="s">
        <v>66</v>
      </c>
      <c r="B66" s="18"/>
      <c r="C66" s="18"/>
      <c r="D66" s="4" t="s">
        <v>36</v>
      </c>
      <c r="F66" s="4" t="s">
        <v>34</v>
      </c>
      <c r="G66" s="4" t="s">
        <v>37</v>
      </c>
      <c r="I66" s="4">
        <f>4*(E66^2)</f>
        <v>0</v>
      </c>
      <c r="J66" s="4" t="s">
        <v>38</v>
      </c>
    </row>
    <row r="67" spans="1:10" s="4" customFormat="1" ht="14.25" customHeight="1" x14ac:dyDescent="0.3">
      <c r="A67" s="4" t="s">
        <v>68</v>
      </c>
      <c r="B67" s="18"/>
      <c r="C67" s="18"/>
      <c r="D67" s="18"/>
      <c r="E67" s="18"/>
      <c r="F67" s="18"/>
      <c r="G67" s="18"/>
      <c r="H67" s="18"/>
    </row>
    <row r="68" spans="1:10" s="4" customFormat="1" ht="23.4" customHeight="1" thickBot="1" x14ac:dyDescent="0.4">
      <c r="A68" s="33" t="s">
        <v>54</v>
      </c>
      <c r="B68" s="33"/>
      <c r="C68" s="33"/>
      <c r="D68" s="33"/>
      <c r="E68" s="33"/>
      <c r="F68" s="33"/>
      <c r="G68" s="33"/>
      <c r="H68" s="33"/>
      <c r="I68" s="33"/>
      <c r="J68" s="33"/>
    </row>
    <row r="69" spans="1:10" s="4" customFormat="1" ht="19.5" customHeight="1" thickTop="1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 s="4" customFormat="1" ht="15" customHeight="1" x14ac:dyDescent="0.3">
      <c r="A70" s="35"/>
      <c r="B70" s="35"/>
      <c r="C70" s="35"/>
      <c r="D70" s="35"/>
      <c r="E70" s="35"/>
      <c r="F70" s="35"/>
      <c r="G70" s="35"/>
      <c r="H70" s="35"/>
      <c r="I70" s="35"/>
      <c r="J70" s="35"/>
    </row>
    <row r="71" spans="1:10" s="4" customFormat="1" ht="28.2" customHeight="1" thickBot="1" x14ac:dyDescent="0.4">
      <c r="A71" s="33" t="s">
        <v>55</v>
      </c>
      <c r="B71" s="33"/>
      <c r="C71" s="33"/>
      <c r="D71" s="33"/>
      <c r="E71" s="33"/>
      <c r="F71" s="33"/>
      <c r="G71" s="33"/>
      <c r="H71" s="33"/>
      <c r="I71" s="33"/>
      <c r="J71" s="33"/>
    </row>
    <row r="72" spans="1:10" s="4" customFormat="1" ht="14.25" customHeight="1" thickTop="1" x14ac:dyDescent="0.3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 s="4" customFormat="1" ht="15.75" customHeight="1" x14ac:dyDescent="0.3">
      <c r="A73" s="35"/>
      <c r="B73" s="35"/>
      <c r="C73" s="35"/>
      <c r="D73" s="35"/>
      <c r="E73" s="35"/>
      <c r="F73" s="35"/>
      <c r="G73" s="35"/>
      <c r="H73" s="35"/>
      <c r="I73" s="35"/>
      <c r="J73" s="35"/>
    </row>
    <row r="74" spans="1:10" s="4" customFormat="1" ht="14.25" customHeight="1" x14ac:dyDescent="0.3">
      <c r="A74" s="35"/>
      <c r="B74" s="35"/>
      <c r="C74" s="35"/>
      <c r="D74" s="35"/>
      <c r="E74" s="35"/>
      <c r="F74" s="35"/>
      <c r="G74" s="35"/>
      <c r="H74" s="35"/>
      <c r="I74" s="35"/>
      <c r="J74" s="35"/>
    </row>
    <row r="75" spans="1:10" s="4" customFormat="1" ht="10.8" customHeight="1" x14ac:dyDescent="0.3">
      <c r="A75" s="35"/>
      <c r="B75" s="35"/>
      <c r="C75" s="35"/>
      <c r="D75" s="35"/>
      <c r="E75" s="35"/>
      <c r="F75" s="35"/>
      <c r="G75" s="35"/>
      <c r="H75" s="35"/>
      <c r="I75" s="35"/>
      <c r="J75" s="35"/>
    </row>
    <row r="76" spans="1:10" s="4" customFormat="1" ht="30" customHeight="1" x14ac:dyDescent="0.3">
      <c r="A76" s="13" t="s">
        <v>70</v>
      </c>
      <c r="B76" s="14"/>
      <c r="C76" s="14"/>
      <c r="D76" s="14"/>
      <c r="E76" s="14"/>
      <c r="F76" s="14"/>
      <c r="G76" s="14"/>
      <c r="H76" s="14"/>
      <c r="I76" s="14"/>
      <c r="J76" s="14"/>
    </row>
    <row r="77" spans="1:10" s="4" customFormat="1" ht="17.25" customHeight="1" thickBot="1" x14ac:dyDescent="0.4">
      <c r="A77" s="25" t="s">
        <v>45</v>
      </c>
      <c r="B77" s="25"/>
      <c r="C77" s="18"/>
      <c r="D77" s="18"/>
      <c r="E77" s="18"/>
      <c r="F77" s="18"/>
      <c r="G77" s="18"/>
      <c r="H77" s="18"/>
    </row>
    <row r="78" spans="1:10" s="4" customFormat="1" ht="19.5" customHeight="1" thickTop="1" thickBot="1" x14ac:dyDescent="0.4">
      <c r="A78" s="38" t="s">
        <v>97</v>
      </c>
      <c r="B78" s="38"/>
      <c r="C78" s="38"/>
      <c r="D78" s="38"/>
      <c r="E78" s="38"/>
      <c r="F78" s="38"/>
      <c r="G78" s="38"/>
      <c r="H78" s="38"/>
    </row>
    <row r="79" spans="1:10" s="4" customFormat="1" ht="13.8" customHeight="1" thickTop="1" thickBot="1" x14ac:dyDescent="0.35">
      <c r="A79" s="12" t="s">
        <v>90</v>
      </c>
      <c r="B79" s="12"/>
      <c r="C79" s="12"/>
      <c r="D79" s="12"/>
      <c r="E79" s="12"/>
      <c r="F79" s="12"/>
      <c r="G79" s="12"/>
      <c r="H79" s="12"/>
      <c r="I79" s="12"/>
      <c r="J79" s="12"/>
    </row>
    <row r="80" spans="1:10" s="4" customFormat="1" ht="19.2" customHeight="1" x14ac:dyDescent="0.3">
      <c r="A80" s="36" t="s">
        <v>89</v>
      </c>
      <c r="B80" s="36"/>
      <c r="C80" s="36"/>
      <c r="D80" s="36"/>
      <c r="E80" s="36"/>
      <c r="F80" s="36"/>
      <c r="G80" s="36"/>
      <c r="H80" s="36"/>
      <c r="I80" s="36"/>
      <c r="J80" s="36"/>
    </row>
    <row r="81" spans="1:17" s="4" customFormat="1" ht="14.25" customHeight="1" x14ac:dyDescent="0.3"/>
    <row r="82" spans="1:17" s="4" customFormat="1" ht="14.25" customHeight="1" x14ac:dyDescent="0.3"/>
    <row r="83" spans="1:17" s="4" customFormat="1" ht="14.25" customHeight="1" x14ac:dyDescent="0.3"/>
    <row r="84" spans="1:17" s="4" customFormat="1" ht="14.25" customHeight="1" x14ac:dyDescent="0.3"/>
    <row r="85" spans="1:17" s="4" customFormat="1" ht="14.25" customHeight="1" x14ac:dyDescent="0.3"/>
    <row r="86" spans="1:17" s="4" customFormat="1" ht="14.25" customHeight="1" x14ac:dyDescent="0.3"/>
    <row r="87" spans="1:17" s="4" customFormat="1" ht="14.25" customHeight="1" x14ac:dyDescent="0.3"/>
    <row r="88" spans="1:17" s="4" customFormat="1" ht="14.25" customHeight="1" x14ac:dyDescent="0.3"/>
    <row r="89" spans="1:17" s="4" customFormat="1" ht="15" customHeight="1" x14ac:dyDescent="0.3"/>
    <row r="90" spans="1:17" s="4" customFormat="1" ht="15" customHeight="1" x14ac:dyDescent="0.3"/>
    <row r="91" spans="1:17" s="4" customFormat="1" ht="15" customHeight="1" x14ac:dyDescent="0.3"/>
    <row r="92" spans="1:17" s="4" customFormat="1" ht="15" customHeight="1" x14ac:dyDescent="0.3"/>
    <row r="93" spans="1:17" s="4" customFormat="1" ht="15" customHeight="1" x14ac:dyDescent="0.3"/>
    <row r="94" spans="1:17" s="4" customFormat="1" ht="14.25" customHeight="1" x14ac:dyDescent="0.3"/>
    <row r="95" spans="1:17" s="4" customFormat="1" ht="14.25" customHeight="1" x14ac:dyDescent="0.3"/>
    <row r="96" spans="1:17" s="4" customFormat="1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8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4.25" customHeight="1" x14ac:dyDescent="0.3">
      <c r="I103" s="1"/>
      <c r="J103" s="1"/>
      <c r="K103" s="1"/>
      <c r="L103" s="1"/>
      <c r="M103" s="1"/>
      <c r="N103" s="1"/>
      <c r="O103" s="1"/>
      <c r="P103" s="1"/>
      <c r="Q103" s="1"/>
    </row>
  </sheetData>
  <mergeCells count="74">
    <mergeCell ref="A80:J80"/>
    <mergeCell ref="D41:E41"/>
    <mergeCell ref="E42:F42"/>
    <mergeCell ref="E43:F43"/>
    <mergeCell ref="D47:E47"/>
    <mergeCell ref="E49:F49"/>
    <mergeCell ref="E52:F52"/>
    <mergeCell ref="E57:F57"/>
    <mergeCell ref="C77:H77"/>
    <mergeCell ref="A61:D61"/>
    <mergeCell ref="A78:H78"/>
    <mergeCell ref="A77:B77"/>
    <mergeCell ref="A64:D64"/>
    <mergeCell ref="A63:F63"/>
    <mergeCell ref="A62:D62"/>
    <mergeCell ref="H62:I62"/>
    <mergeCell ref="B67:H67"/>
    <mergeCell ref="A68:J68"/>
    <mergeCell ref="A71:J71"/>
    <mergeCell ref="A69:J70"/>
    <mergeCell ref="A72:J75"/>
    <mergeCell ref="A17:J17"/>
    <mergeCell ref="F18:J18"/>
    <mergeCell ref="A22:C22"/>
    <mergeCell ref="A50:J50"/>
    <mergeCell ref="A58:F58"/>
    <mergeCell ref="A21:C21"/>
    <mergeCell ref="D21:J21"/>
    <mergeCell ref="G54:H54"/>
    <mergeCell ref="B54:C54"/>
    <mergeCell ref="G58:I58"/>
    <mergeCell ref="E39:F39"/>
    <mergeCell ref="A60:D60"/>
    <mergeCell ref="A30:J30"/>
    <mergeCell ref="A18:E18"/>
    <mergeCell ref="A25:J25"/>
    <mergeCell ref="D22:F22"/>
    <mergeCell ref="A59:J59"/>
    <mergeCell ref="E26:H26"/>
    <mergeCell ref="A27:J27"/>
    <mergeCell ref="A37:J37"/>
    <mergeCell ref="B38:D38"/>
    <mergeCell ref="A1:J1"/>
    <mergeCell ref="A2:J2"/>
    <mergeCell ref="E5:J5"/>
    <mergeCell ref="A14:J14"/>
    <mergeCell ref="G6:H6"/>
    <mergeCell ref="B6:E6"/>
    <mergeCell ref="C4:J4"/>
    <mergeCell ref="A4:B4"/>
    <mergeCell ref="G8:H8"/>
    <mergeCell ref="A9:J9"/>
    <mergeCell ref="A3:H3"/>
    <mergeCell ref="A10:E10"/>
    <mergeCell ref="F10:J10"/>
    <mergeCell ref="C7:H7"/>
    <mergeCell ref="A7:B7"/>
    <mergeCell ref="B5:C5"/>
    <mergeCell ref="A79:J79"/>
    <mergeCell ref="A76:J76"/>
    <mergeCell ref="A40:J40"/>
    <mergeCell ref="I41:J41"/>
    <mergeCell ref="F41:G41"/>
    <mergeCell ref="F47:G47"/>
    <mergeCell ref="I47:J47"/>
    <mergeCell ref="H60:I60"/>
    <mergeCell ref="H61:I61"/>
    <mergeCell ref="H63:I63"/>
    <mergeCell ref="H64:I64"/>
    <mergeCell ref="A66:C66"/>
    <mergeCell ref="A44:J44"/>
    <mergeCell ref="A46:J46"/>
    <mergeCell ref="A53:J53"/>
    <mergeCell ref="A55:J55"/>
  </mergeCells>
  <conditionalFormatting sqref="A9 K9:P9">
    <cfRule type="containsText" dxfId="0" priority="1" operator="containsText" text="заглавные буквы">
      <formula>NOT(ISERROR(SEARCH(("заглавные буквы"),(A9))))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olga</cp:lastModifiedBy>
  <cp:lastPrinted>2025-08-17T11:43:40Z</cp:lastPrinted>
  <dcterms:created xsi:type="dcterms:W3CDTF">2023-03-01T11:25:28Z</dcterms:created>
  <dcterms:modified xsi:type="dcterms:W3CDTF">2025-10-18T05:02:56Z</dcterms:modified>
</cp:coreProperties>
</file>